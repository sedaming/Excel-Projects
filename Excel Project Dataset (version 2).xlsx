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edam\Dropbox\Work &amp; Activities\Job Roles\Data Analyst\Tools\Excel\ALex.dataanalyst\"/>
    </mc:Choice>
  </mc:AlternateContent>
  <xr:revisionPtr revIDLastSave="0" documentId="13_ncr:1_{78DDDB5A-87E6-4CE5-9569-18CB6B36F325}" xr6:coauthVersionLast="47" xr6:coauthVersionMax="47" xr10:uidLastSave="{00000000-0000-0000-0000-000000000000}"/>
  <bookViews>
    <workbookView xWindow="-108" yWindow="-108" windowWidth="23256" windowHeight="12456" firstSheet="2" activeTab="2"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_xlnm._FilterDatabase" localSheetId="1" hidden="1">'Working Sheet'!$A$1:$N$1001</definedName>
    <definedName name="Slicer_Age_Range">#N/A</definedName>
    <definedName name="Slicer_Education">#N/A</definedName>
    <definedName name="Slicer_Marital_Status">#N/A</definedName>
    <definedName name="Slicer_Occupation">#N/A</definedName>
    <definedName name="Slicer_Region">#N/A</definedName>
  </definedNames>
  <calcPr calcId="181029"/>
  <pivotCaches>
    <pivotCache cacheId="25"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C92" i="3"/>
  <c r="C91" i="3"/>
  <c r="C90" i="3"/>
  <c r="C89" i="3"/>
  <c r="C88" i="3"/>
  <c r="C87" i="3"/>
  <c r="A76" i="3"/>
  <c r="A84" i="3"/>
  <c r="A77" i="3"/>
  <c r="D87" i="3" l="1"/>
  <c r="D88" i="3"/>
  <c r="D89" i="3"/>
  <c r="D90" i="3"/>
  <c r="D91" i="3"/>
  <c r="E90" i="3" l="1"/>
</calcChain>
</file>

<file path=xl/sharedStrings.xml><?xml version="1.0" encoding="utf-8"?>
<sst xmlns="http://schemas.openxmlformats.org/spreadsheetml/2006/main" count="16310" uniqueCount="52">
  <si>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</si>
  <si>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</si>
  <si>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</si>
  <si>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</si>
  <si>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</si>
  <si>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</si>
  <si>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</si>
  <si>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</si>
  <si>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</si>
  <si>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</si>
  <si>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</si>
  <si>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</si>
  <si>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</si>
  <si>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</si>
  <si>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</si>
  <si>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</si>
  <si>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</si>
  <si>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</si>
  <si>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</si>
  <si>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</si>
  <si>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</si>
  <si>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</si>
  <si>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</si>
  <si>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</si>
  <si>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</si>
  <si>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</si>
  <si>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</si>
  <si>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</si>
  <si>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</si>
  <si>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</si>
  <si>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</si>
  <si>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</si>
  <si>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</si>
  <si>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</si>
  <si>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</si>
  <si>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</si>
  <si>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</si>
  <si>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</si>
  <si>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</si>
  <si>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</si>
  <si>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Range</t>
  </si>
  <si>
    <t>Row Labels</t>
  </si>
  <si>
    <t>Grand Total</t>
  </si>
  <si>
    <t>Column Labels</t>
  </si>
  <si>
    <t>Average of Income</t>
  </si>
  <si>
    <t>Count of Purchased Bike</t>
  </si>
  <si>
    <t>Adolescence</t>
  </si>
  <si>
    <t>Middle Age</t>
  </si>
  <si>
    <t>Old</t>
  </si>
  <si>
    <t>Young</t>
  </si>
  <si>
    <t>Bike Sale Dashboard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</si>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</sst>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0"/>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9" fontId="0" fillId="0" borderId="0" xfId="42" applyFont="1"/>
    <xf numFmtId="165" fontId="0" fillId="0" borderId="0" xfId="0" applyNumberFormat="1"/>
    <xf numFmtId="1" fontId="0" fillId="0" borderId="0" xfId="42" applyNumberFormat="1" applyFont="1"/>
    <xf numFmtId="9" fontId="0" fillId="0" borderId="0" xfId="0" applyNumberFormat="1"/>
    <xf numFmtId="0" fontId="0" fillId="34" borderId="0" xfId="0" applyFill="1"/>
    <xf numFmtId="164" fontId="0" fillId="34" borderId="0" xfId="0" applyNumberFormat="1" applyFill="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165" formatCode="&quot;$&quot;#,##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2).xlsx]Pivot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Average Income by Gender and Bike Purchase Status</a:t>
            </a:r>
            <a:endParaRPr lang="en-CA"/>
          </a:p>
        </c:rich>
      </c:tx>
      <c:layout>
        <c:manualLayout>
          <c:xMode val="edge"/>
          <c:yMode val="edge"/>
          <c:x val="0.153460516754619"/>
          <c:y val="0.117876211975560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Tables'!$A$6:$A$8</c:f>
              <c:strCache>
                <c:ptCount val="2"/>
                <c:pt idx="0">
                  <c:v>Female</c:v>
                </c:pt>
                <c:pt idx="1">
                  <c:v>Male</c:v>
                </c:pt>
              </c:strCache>
            </c:strRef>
          </c:cat>
          <c:val>
            <c:numRef>
              <c:f>'Pivot Tables'!$B$6:$B$8</c:f>
              <c:numCache>
                <c:formatCode>0</c:formatCode>
                <c:ptCount val="2"/>
                <c:pt idx="0">
                  <c:v>53440</c:v>
                </c:pt>
                <c:pt idx="1">
                  <c:v>56208.178438661707</c:v>
                </c:pt>
              </c:numCache>
            </c:numRef>
          </c:val>
          <c:extLst>
            <c:ext xmlns:c16="http://schemas.microsoft.com/office/drawing/2014/chart" uri="{C3380CC4-5D6E-409C-BE32-E72D297353CC}">
              <c16:uniqueId val="{00000000-FDD6-4345-8D80-C8E753202BD9}"/>
            </c:ext>
          </c:extLst>
        </c:ser>
        <c:ser>
          <c:idx val="1"/>
          <c:order val="1"/>
          <c:tx>
            <c:strRef>
              <c:f>'Pivot Tables'!$C$4:$C$5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Tables'!$A$6:$A$8</c:f>
              <c:strCache>
                <c:ptCount val="2"/>
                <c:pt idx="0">
                  <c:v>Female</c:v>
                </c:pt>
                <c:pt idx="1">
                  <c:v>Male</c:v>
                </c:pt>
              </c:strCache>
            </c:strRef>
          </c:cat>
          <c:val>
            <c:numRef>
              <c:f>'Pivot Tables'!$C$6:$C$8</c:f>
              <c:numCache>
                <c:formatCode>0</c:formatCode>
                <c:ptCount val="2"/>
                <c:pt idx="0">
                  <c:v>55774.058577405856</c:v>
                </c:pt>
                <c:pt idx="1">
                  <c:v>60123.966942148763</c:v>
                </c:pt>
              </c:numCache>
            </c:numRef>
          </c:val>
          <c:extLst>
            <c:ext xmlns:c16="http://schemas.microsoft.com/office/drawing/2014/chart" uri="{C3380CC4-5D6E-409C-BE32-E72D297353CC}">
              <c16:uniqueId val="{00000000-A2AD-419D-8595-746795AA6B54}"/>
            </c:ext>
          </c:extLst>
        </c:ser>
        <c:dLbls>
          <c:dLblPos val="outEnd"/>
          <c:showLegendKey val="0"/>
          <c:showVal val="1"/>
          <c:showCatName val="0"/>
          <c:showSerName val="0"/>
          <c:showPercent val="0"/>
          <c:showBubbleSize val="0"/>
        </c:dLbls>
        <c:gapWidth val="219"/>
        <c:overlap val="-27"/>
        <c:axId val="1227338416"/>
        <c:axId val="1227338896"/>
      </c:barChart>
      <c:catAx>
        <c:axId val="122733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38896"/>
        <c:crosses val="autoZero"/>
        <c:auto val="1"/>
        <c:lblAlgn val="ctr"/>
        <c:lblOffset val="100"/>
        <c:noMultiLvlLbl val="0"/>
      </c:catAx>
      <c:valAx>
        <c:axId val="12273388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3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2).xlsx]Pivot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The number</a:t>
            </a:r>
            <a:r>
              <a:rPr lang="en-CA" baseline="0"/>
              <a:t> of buyers or non buyers per commute distance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Tables'!$B$22:$B$23</c:f>
              <c:strCache>
                <c:ptCount val="1"/>
                <c:pt idx="0">
                  <c:v>No</c:v>
                </c:pt>
              </c:strCache>
            </c:strRef>
          </c:tx>
          <c:spPr>
            <a:solidFill>
              <a:schemeClr val="accent1"/>
            </a:solidFill>
            <a:ln>
              <a:noFill/>
            </a:ln>
            <a:effectLst/>
          </c:spPr>
          <c:invertIfNegative val="0"/>
          <c:cat>
            <c:strRef>
              <c:f>'Pivot Tables'!$A$24:$A$29</c:f>
              <c:strCache>
                <c:ptCount val="5"/>
                <c:pt idx="0">
                  <c:v>0-1 Miles</c:v>
                </c:pt>
                <c:pt idx="1">
                  <c:v>1-2 Miles</c:v>
                </c:pt>
                <c:pt idx="2">
                  <c:v>2-5 Miles</c:v>
                </c:pt>
                <c:pt idx="3">
                  <c:v>5-10 Miles</c:v>
                </c:pt>
                <c:pt idx="4">
                  <c:v>10+ Miles</c:v>
                </c:pt>
              </c:strCache>
            </c:strRef>
          </c:cat>
          <c:val>
            <c:numRef>
              <c:f>'Pivot Tables'!$B$24:$B$29</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52C2-4764-B58C-22118EEA81AD}"/>
            </c:ext>
          </c:extLst>
        </c:ser>
        <c:ser>
          <c:idx val="1"/>
          <c:order val="1"/>
          <c:tx>
            <c:strRef>
              <c:f>'Pivot Tables'!$C$22:$C$23</c:f>
              <c:strCache>
                <c:ptCount val="1"/>
                <c:pt idx="0">
                  <c:v>Yes</c:v>
                </c:pt>
              </c:strCache>
            </c:strRef>
          </c:tx>
          <c:spPr>
            <a:solidFill>
              <a:schemeClr val="accent2"/>
            </a:solidFill>
            <a:ln>
              <a:noFill/>
            </a:ln>
            <a:effectLst/>
          </c:spPr>
          <c:invertIfNegative val="0"/>
          <c:cat>
            <c:strRef>
              <c:f>'Pivot Tables'!$A$24:$A$29</c:f>
              <c:strCache>
                <c:ptCount val="5"/>
                <c:pt idx="0">
                  <c:v>0-1 Miles</c:v>
                </c:pt>
                <c:pt idx="1">
                  <c:v>1-2 Miles</c:v>
                </c:pt>
                <c:pt idx="2">
                  <c:v>2-5 Miles</c:v>
                </c:pt>
                <c:pt idx="3">
                  <c:v>5-10 Miles</c:v>
                </c:pt>
                <c:pt idx="4">
                  <c:v>10+ Miles</c:v>
                </c:pt>
              </c:strCache>
            </c:strRef>
          </c:cat>
          <c:val>
            <c:numRef>
              <c:f>'Pivot Tables'!$C$24:$C$29</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4BE8-4490-BB12-43B2762A3ECB}"/>
            </c:ext>
          </c:extLst>
        </c:ser>
        <c:dLbls>
          <c:showLegendKey val="0"/>
          <c:showVal val="0"/>
          <c:showCatName val="0"/>
          <c:showSerName val="0"/>
          <c:showPercent val="0"/>
          <c:showBubbleSize val="0"/>
        </c:dLbls>
        <c:gapWidth val="150"/>
        <c:axId val="762387184"/>
        <c:axId val="762387664"/>
      </c:barChart>
      <c:catAx>
        <c:axId val="762387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a:t>
                </a:r>
                <a:r>
                  <a:rPr lang="en-CA"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387664"/>
        <c:crosses val="autoZero"/>
        <c:auto val="1"/>
        <c:lblAlgn val="ctr"/>
        <c:lblOffset val="100"/>
        <c:noMultiLvlLbl val="0"/>
      </c:catAx>
      <c:valAx>
        <c:axId val="76238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38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2).xlsx]Pivot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Number of byciles purchased per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Tables'!$B$40:$B$41</c:f>
              <c:strCache>
                <c:ptCount val="1"/>
                <c:pt idx="0">
                  <c:v>No</c:v>
                </c:pt>
              </c:strCache>
            </c:strRef>
          </c:tx>
          <c:spPr>
            <a:solidFill>
              <a:schemeClr val="accent1"/>
            </a:solidFill>
            <a:ln>
              <a:noFill/>
            </a:ln>
            <a:effectLst/>
          </c:spPr>
          <c:invertIfNegative val="0"/>
          <c:cat>
            <c:strRef>
              <c:f>'Pivot Tables'!$A$42:$A$46</c:f>
              <c:strCache>
                <c:ptCount val="4"/>
                <c:pt idx="0">
                  <c:v>Adolescence</c:v>
                </c:pt>
                <c:pt idx="1">
                  <c:v>Young</c:v>
                </c:pt>
                <c:pt idx="2">
                  <c:v>Middle Age</c:v>
                </c:pt>
                <c:pt idx="3">
                  <c:v>Old</c:v>
                </c:pt>
              </c:strCache>
            </c:strRef>
          </c:cat>
          <c:val>
            <c:numRef>
              <c:f>'Pivot Tables'!$B$42:$B$46</c:f>
              <c:numCache>
                <c:formatCode>General</c:formatCode>
                <c:ptCount val="4"/>
                <c:pt idx="0">
                  <c:v>127</c:v>
                </c:pt>
                <c:pt idx="1">
                  <c:v>134</c:v>
                </c:pt>
                <c:pt idx="2">
                  <c:v>216</c:v>
                </c:pt>
                <c:pt idx="3">
                  <c:v>42</c:v>
                </c:pt>
              </c:numCache>
            </c:numRef>
          </c:val>
          <c:extLst>
            <c:ext xmlns:c16="http://schemas.microsoft.com/office/drawing/2014/chart" uri="{C3380CC4-5D6E-409C-BE32-E72D297353CC}">
              <c16:uniqueId val="{00000000-002F-4BF3-A135-EAB7FB988AB6}"/>
            </c:ext>
          </c:extLst>
        </c:ser>
        <c:ser>
          <c:idx val="1"/>
          <c:order val="1"/>
          <c:tx>
            <c:strRef>
              <c:f>'Pivot Tables'!$C$40:$C$41</c:f>
              <c:strCache>
                <c:ptCount val="1"/>
                <c:pt idx="0">
                  <c:v>Yes</c:v>
                </c:pt>
              </c:strCache>
            </c:strRef>
          </c:tx>
          <c:spPr>
            <a:solidFill>
              <a:schemeClr val="accent2"/>
            </a:solidFill>
            <a:ln>
              <a:noFill/>
            </a:ln>
            <a:effectLst/>
          </c:spPr>
          <c:invertIfNegative val="0"/>
          <c:cat>
            <c:strRef>
              <c:f>'Pivot Tables'!$A$42:$A$46</c:f>
              <c:strCache>
                <c:ptCount val="4"/>
                <c:pt idx="0">
                  <c:v>Adolescence</c:v>
                </c:pt>
                <c:pt idx="1">
                  <c:v>Young</c:v>
                </c:pt>
                <c:pt idx="2">
                  <c:v>Middle Age</c:v>
                </c:pt>
                <c:pt idx="3">
                  <c:v>Old</c:v>
                </c:pt>
              </c:strCache>
            </c:strRef>
          </c:cat>
          <c:val>
            <c:numRef>
              <c:f>'Pivot Tables'!$C$42:$C$46</c:f>
              <c:numCache>
                <c:formatCode>General</c:formatCode>
                <c:ptCount val="4"/>
                <c:pt idx="0">
                  <c:v>93</c:v>
                </c:pt>
                <c:pt idx="1">
                  <c:v>197</c:v>
                </c:pt>
                <c:pt idx="2">
                  <c:v>174</c:v>
                </c:pt>
                <c:pt idx="3">
                  <c:v>17</c:v>
                </c:pt>
              </c:numCache>
            </c:numRef>
          </c:val>
          <c:extLst>
            <c:ext xmlns:c16="http://schemas.microsoft.com/office/drawing/2014/chart" uri="{C3380CC4-5D6E-409C-BE32-E72D297353CC}">
              <c16:uniqueId val="{00000000-BAED-418B-A9EB-5055685C2FE2}"/>
            </c:ext>
          </c:extLst>
        </c:ser>
        <c:dLbls>
          <c:showLegendKey val="0"/>
          <c:showVal val="0"/>
          <c:showCatName val="0"/>
          <c:showSerName val="0"/>
          <c:showPercent val="0"/>
          <c:showBubbleSize val="0"/>
        </c:dLbls>
        <c:gapWidth val="219"/>
        <c:overlap val="-27"/>
        <c:axId val="3575888"/>
        <c:axId val="3576368"/>
      </c:barChart>
      <c:catAx>
        <c:axId val="357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6368"/>
        <c:crosses val="autoZero"/>
        <c:auto val="1"/>
        <c:lblAlgn val="ctr"/>
        <c:lblOffset val="100"/>
        <c:noMultiLvlLbl val="0"/>
      </c:catAx>
      <c:valAx>
        <c:axId val="357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2).xlsx]Pivot Tables!PivotTable6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'Pivot Tables'!$B$57:$B$58</c:f>
              <c:strCache>
                <c:ptCount val="1"/>
                <c:pt idx="0">
                  <c:v>No</c:v>
                </c:pt>
              </c:strCache>
            </c:strRef>
          </c:tx>
          <c:spPr>
            <a:solidFill>
              <a:schemeClr val="accent1"/>
            </a:solidFill>
            <a:ln>
              <a:noFill/>
            </a:ln>
            <a:effectLst/>
          </c:spPr>
          <c:invertIfNegative val="0"/>
          <c:cat>
            <c:strRef>
              <c:f>'Pivot Tables'!$A$59:$A$64</c:f>
              <c:strCache>
                <c:ptCount val="5"/>
                <c:pt idx="0">
                  <c:v>0-1 Miles</c:v>
                </c:pt>
                <c:pt idx="1">
                  <c:v>10+ Miles</c:v>
                </c:pt>
                <c:pt idx="2">
                  <c:v>1-2 Miles</c:v>
                </c:pt>
                <c:pt idx="3">
                  <c:v>2-5 Miles</c:v>
                </c:pt>
                <c:pt idx="4">
                  <c:v>5-10 Miles</c:v>
                </c:pt>
              </c:strCache>
            </c:strRef>
          </c:cat>
          <c:val>
            <c:numRef>
              <c:f>'Pivot Tables'!$B$59:$B$64</c:f>
              <c:numCache>
                <c:formatCode>"$"#,##0.00</c:formatCode>
                <c:ptCount val="5"/>
                <c:pt idx="0">
                  <c:v>47891.566265060239</c:v>
                </c:pt>
                <c:pt idx="1">
                  <c:v>71666.666666666672</c:v>
                </c:pt>
                <c:pt idx="2">
                  <c:v>52391.304347826088</c:v>
                </c:pt>
                <c:pt idx="3">
                  <c:v>56716.417910447759</c:v>
                </c:pt>
                <c:pt idx="4">
                  <c:v>54482.758620689652</c:v>
                </c:pt>
              </c:numCache>
            </c:numRef>
          </c:val>
          <c:extLst>
            <c:ext xmlns:c16="http://schemas.microsoft.com/office/drawing/2014/chart" uri="{C3380CC4-5D6E-409C-BE32-E72D297353CC}">
              <c16:uniqueId val="{00000000-801D-4600-8D9C-468B953C398A}"/>
            </c:ext>
          </c:extLst>
        </c:ser>
        <c:ser>
          <c:idx val="1"/>
          <c:order val="1"/>
          <c:tx>
            <c:strRef>
              <c:f>'Pivot Tables'!$C$57:$C$58</c:f>
              <c:strCache>
                <c:ptCount val="1"/>
                <c:pt idx="0">
                  <c:v>Yes</c:v>
                </c:pt>
              </c:strCache>
            </c:strRef>
          </c:tx>
          <c:spPr>
            <a:solidFill>
              <a:schemeClr val="accent2"/>
            </a:solidFill>
            <a:ln>
              <a:noFill/>
            </a:ln>
            <a:effectLst/>
          </c:spPr>
          <c:invertIfNegative val="0"/>
          <c:cat>
            <c:strRef>
              <c:f>'Pivot Tables'!$A$59:$A$64</c:f>
              <c:strCache>
                <c:ptCount val="5"/>
                <c:pt idx="0">
                  <c:v>0-1 Miles</c:v>
                </c:pt>
                <c:pt idx="1">
                  <c:v>10+ Miles</c:v>
                </c:pt>
                <c:pt idx="2">
                  <c:v>1-2 Miles</c:v>
                </c:pt>
                <c:pt idx="3">
                  <c:v>2-5 Miles</c:v>
                </c:pt>
                <c:pt idx="4">
                  <c:v>5-10 Miles</c:v>
                </c:pt>
              </c:strCache>
            </c:strRef>
          </c:cat>
          <c:val>
            <c:numRef>
              <c:f>'Pivot Tables'!$C$59:$C$64</c:f>
              <c:numCache>
                <c:formatCode>"$"#,##0.00</c:formatCode>
                <c:ptCount val="5"/>
                <c:pt idx="0">
                  <c:v>50950</c:v>
                </c:pt>
                <c:pt idx="1">
                  <c:v>82424.242424242431</c:v>
                </c:pt>
                <c:pt idx="2">
                  <c:v>51298.7012987013</c:v>
                </c:pt>
                <c:pt idx="3">
                  <c:v>63157.894736842107</c:v>
                </c:pt>
                <c:pt idx="4">
                  <c:v>66052.631578947374</c:v>
                </c:pt>
              </c:numCache>
            </c:numRef>
          </c:val>
          <c:extLst>
            <c:ext xmlns:c16="http://schemas.microsoft.com/office/drawing/2014/chart" uri="{C3380CC4-5D6E-409C-BE32-E72D297353CC}">
              <c16:uniqueId val="{00000000-2CE6-4E6C-8E6D-BC4F2E5E9075}"/>
            </c:ext>
          </c:extLst>
        </c:ser>
        <c:dLbls>
          <c:showLegendKey val="0"/>
          <c:showVal val="0"/>
          <c:showCatName val="0"/>
          <c:showSerName val="0"/>
          <c:showPercent val="0"/>
          <c:showBubbleSize val="0"/>
        </c:dLbls>
        <c:gapWidth val="182"/>
        <c:axId val="332986080"/>
        <c:axId val="332990400"/>
      </c:barChart>
      <c:catAx>
        <c:axId val="33298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990400"/>
        <c:crosses val="autoZero"/>
        <c:auto val="1"/>
        <c:lblAlgn val="ctr"/>
        <c:lblOffset val="100"/>
        <c:noMultiLvlLbl val="0"/>
      </c:catAx>
      <c:valAx>
        <c:axId val="332990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98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2).xlsx]Pivot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Average Income by Gender and Bike Purchase Status</a:t>
            </a:r>
            <a:endParaRPr lang="en-CA"/>
          </a:p>
        </c:rich>
      </c:tx>
      <c:layout>
        <c:manualLayout>
          <c:xMode val="edge"/>
          <c:yMode val="edge"/>
          <c:x val="0.15663684167745243"/>
          <c:y val="0.200615619741373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Tables'!$A$6:$A$8</c:f>
              <c:strCache>
                <c:ptCount val="2"/>
                <c:pt idx="0">
                  <c:v>Female</c:v>
                </c:pt>
                <c:pt idx="1">
                  <c:v>Male</c:v>
                </c:pt>
              </c:strCache>
            </c:strRef>
          </c:cat>
          <c:val>
            <c:numRef>
              <c:f>'Pivot Tables'!$B$6:$B$8</c:f>
              <c:numCache>
                <c:formatCode>0</c:formatCode>
                <c:ptCount val="2"/>
                <c:pt idx="0">
                  <c:v>53440</c:v>
                </c:pt>
                <c:pt idx="1">
                  <c:v>56208.178438661707</c:v>
                </c:pt>
              </c:numCache>
            </c:numRef>
          </c:val>
          <c:extLst>
            <c:ext xmlns:c16="http://schemas.microsoft.com/office/drawing/2014/chart" uri="{C3380CC4-5D6E-409C-BE32-E72D297353CC}">
              <c16:uniqueId val="{00000000-84F6-47B5-AA79-FA898B7BD0AE}"/>
            </c:ext>
          </c:extLst>
        </c:ser>
        <c:ser>
          <c:idx val="1"/>
          <c:order val="1"/>
          <c:tx>
            <c:strRef>
              <c:f>'Pivot Tables'!$C$4:$C$5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Tables'!$A$6:$A$8</c:f>
              <c:strCache>
                <c:ptCount val="2"/>
                <c:pt idx="0">
                  <c:v>Female</c:v>
                </c:pt>
                <c:pt idx="1">
                  <c:v>Male</c:v>
                </c:pt>
              </c:strCache>
            </c:strRef>
          </c:cat>
          <c:val>
            <c:numRef>
              <c:f>'Pivot Tables'!$C$6:$C$8</c:f>
              <c:numCache>
                <c:formatCode>0</c:formatCode>
                <c:ptCount val="2"/>
                <c:pt idx="0">
                  <c:v>55774.058577405856</c:v>
                </c:pt>
                <c:pt idx="1">
                  <c:v>60123.966942148763</c:v>
                </c:pt>
              </c:numCache>
            </c:numRef>
          </c:val>
          <c:extLst>
            <c:ext xmlns:c16="http://schemas.microsoft.com/office/drawing/2014/chart" uri="{C3380CC4-5D6E-409C-BE32-E72D297353CC}">
              <c16:uniqueId val="{00000001-573D-4067-8241-3AF9DB4DCBA1}"/>
            </c:ext>
          </c:extLst>
        </c:ser>
        <c:dLbls>
          <c:dLblPos val="outEnd"/>
          <c:showLegendKey val="0"/>
          <c:showVal val="1"/>
          <c:showCatName val="0"/>
          <c:showSerName val="0"/>
          <c:showPercent val="0"/>
          <c:showBubbleSize val="0"/>
        </c:dLbls>
        <c:gapWidth val="219"/>
        <c:overlap val="-27"/>
        <c:axId val="1227338416"/>
        <c:axId val="1227338896"/>
      </c:barChart>
      <c:catAx>
        <c:axId val="1227338416"/>
        <c:scaling>
          <c:orientation val="minMax"/>
        </c:scaling>
        <c:delete val="1"/>
        <c:axPos val="b"/>
        <c:numFmt formatCode="General" sourceLinked="1"/>
        <c:majorTickMark val="none"/>
        <c:minorTickMark val="none"/>
        <c:tickLblPos val="nextTo"/>
        <c:crossAx val="1227338896"/>
        <c:crosses val="autoZero"/>
        <c:auto val="1"/>
        <c:lblAlgn val="ctr"/>
        <c:lblOffset val="100"/>
        <c:noMultiLvlLbl val="0"/>
      </c:catAx>
      <c:valAx>
        <c:axId val="1227338896"/>
        <c:scaling>
          <c:orientation val="minMax"/>
        </c:scaling>
        <c:delete val="1"/>
        <c:axPos val="l"/>
        <c:numFmt formatCode="0" sourceLinked="1"/>
        <c:majorTickMark val="none"/>
        <c:minorTickMark val="none"/>
        <c:tickLblPos val="nextTo"/>
        <c:crossAx val="122733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2).xlsx]Pivot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The number of buyers or non buyers per commute distance</a:t>
            </a:r>
          </a:p>
        </c:rich>
      </c:tx>
      <c:layout>
        <c:manualLayout>
          <c:xMode val="edge"/>
          <c:yMode val="edge"/>
          <c:x val="0.12594006478745309"/>
          <c:y val="0.1945704604947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4.4397657936146903E-2"/>
              <c:y val="-7.4790461566094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3"/>
            </a:solidFill>
            <a:round/>
          </a:ln>
          <a:effectLst/>
        </c:spPr>
        <c:marker>
          <c:symbol val="none"/>
        </c:marker>
        <c:dLbl>
          <c:idx val="0"/>
          <c:layout>
            <c:manualLayout>
              <c:x val="-5.8271926041192815E-2"/>
              <c:y val="4.67440384788091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none"/>
        </c:marker>
        <c:dLbl>
          <c:idx val="0"/>
          <c:layout>
            <c:manualLayout>
              <c:x val="-1.664912172605509E-2"/>
              <c:y val="-4.2069634630928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none"/>
        </c:marker>
        <c:dLbl>
          <c:idx val="0"/>
          <c:layout>
            <c:manualLayout>
              <c:x val="-1.3874268105045908E-2"/>
              <c:y val="9.348807695761825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1446314885145E-2"/>
          <c:y val="0.27924446911286438"/>
          <c:w val="0.67526128414981768"/>
          <c:h val="0.42073904165151471"/>
        </c:manualLayout>
      </c:layout>
      <c:lineChart>
        <c:grouping val="standard"/>
        <c:varyColors val="0"/>
        <c:ser>
          <c:idx val="0"/>
          <c:order val="0"/>
          <c:tx>
            <c:strRef>
              <c:f>'Pivot Tables'!$B$22:$B$23</c:f>
              <c:strCache>
                <c:ptCount val="1"/>
                <c:pt idx="0">
                  <c:v>No</c:v>
                </c:pt>
              </c:strCache>
            </c:strRef>
          </c:tx>
          <c:spPr>
            <a:ln w="28575" cap="rnd">
              <a:solidFill>
                <a:schemeClr val="accent3"/>
              </a:solidFill>
              <a:round/>
            </a:ln>
            <a:effectLst/>
          </c:spPr>
          <c:marker>
            <c:symbol val="none"/>
          </c:marker>
          <c:dPt>
            <c:idx val="0"/>
            <c:marker>
              <c:symbol val="none"/>
            </c:marker>
            <c:bubble3D val="0"/>
            <c:spPr>
              <a:ln w="28575" cap="rnd">
                <a:solidFill>
                  <a:schemeClr val="accent3"/>
                </a:solidFill>
                <a:round/>
              </a:ln>
              <a:effectLst/>
            </c:spPr>
            <c:extLst>
              <c:ext xmlns:c16="http://schemas.microsoft.com/office/drawing/2014/chart" uri="{C3380CC4-5D6E-409C-BE32-E72D297353CC}">
                <c16:uniqueId val="{00000001-3BB0-489D-9F3C-0F56BCA9D998}"/>
              </c:ext>
            </c:extLst>
          </c:dPt>
          <c:dPt>
            <c:idx val="1"/>
            <c:marker>
              <c:symbol val="none"/>
            </c:marker>
            <c:bubble3D val="0"/>
            <c:spPr>
              <a:ln w="28575" cap="rnd">
                <a:solidFill>
                  <a:schemeClr val="accent3"/>
                </a:solidFill>
                <a:round/>
              </a:ln>
              <a:effectLst/>
            </c:spPr>
            <c:extLst>
              <c:ext xmlns:c16="http://schemas.microsoft.com/office/drawing/2014/chart" uri="{C3380CC4-5D6E-409C-BE32-E72D297353CC}">
                <c16:uniqueId val="{00000003-3BB0-489D-9F3C-0F56BCA9D998}"/>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05-3BB0-489D-9F3C-0F56BCA9D998}"/>
              </c:ext>
            </c:extLst>
          </c:dPt>
          <c:dPt>
            <c:idx val="3"/>
            <c:marker>
              <c:symbol val="none"/>
            </c:marker>
            <c:bubble3D val="0"/>
            <c:spPr>
              <a:ln w="28575" cap="rnd">
                <a:solidFill>
                  <a:schemeClr val="accent3"/>
                </a:solidFill>
                <a:round/>
              </a:ln>
              <a:effectLst/>
            </c:spPr>
            <c:extLst>
              <c:ext xmlns:c16="http://schemas.microsoft.com/office/drawing/2014/chart" uri="{C3380CC4-5D6E-409C-BE32-E72D297353CC}">
                <c16:uniqueId val="{00000006-3BB0-489D-9F3C-0F56BCA9D998}"/>
              </c:ext>
            </c:extLst>
          </c:dPt>
          <c:dPt>
            <c:idx val="4"/>
            <c:marker>
              <c:symbol val="none"/>
            </c:marker>
            <c:bubble3D val="0"/>
            <c:spPr>
              <a:ln w="28575" cap="rnd">
                <a:solidFill>
                  <a:schemeClr val="accent3"/>
                </a:solidFill>
                <a:round/>
              </a:ln>
              <a:effectLst/>
            </c:spPr>
            <c:extLst>
              <c:ext xmlns:c16="http://schemas.microsoft.com/office/drawing/2014/chart" uri="{C3380CC4-5D6E-409C-BE32-E72D297353CC}">
                <c16:uniqueId val="{00000008-3BB0-489D-9F3C-0F56BCA9D998}"/>
              </c:ext>
            </c:extLst>
          </c:dPt>
          <c:dLbls>
            <c:dLbl>
              <c:idx val="0"/>
              <c:layout>
                <c:manualLayout>
                  <c:x val="-5.8271926041192815E-2"/>
                  <c:y val="4.67440384788091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B0-489D-9F3C-0F56BCA9D998}"/>
                </c:ext>
              </c:extLst>
            </c:dLbl>
            <c:dLbl>
              <c:idx val="1"/>
              <c:delete val="1"/>
              <c:extLst>
                <c:ext xmlns:c15="http://schemas.microsoft.com/office/drawing/2012/chart" uri="{CE6537A1-D6FC-4f65-9D91-7224C49458BB}"/>
                <c:ext xmlns:c16="http://schemas.microsoft.com/office/drawing/2014/chart" uri="{C3380CC4-5D6E-409C-BE32-E72D297353CC}">
                  <c16:uniqueId val="{00000003-3BB0-489D-9F3C-0F56BCA9D998}"/>
                </c:ext>
              </c:extLst>
            </c:dLbl>
            <c:dLbl>
              <c:idx val="2"/>
              <c:delete val="1"/>
              <c:extLst>
                <c:ext xmlns:c15="http://schemas.microsoft.com/office/drawing/2012/chart" uri="{CE6537A1-D6FC-4f65-9D91-7224C49458BB}"/>
                <c:ext xmlns:c16="http://schemas.microsoft.com/office/drawing/2014/chart" uri="{C3380CC4-5D6E-409C-BE32-E72D297353CC}">
                  <c16:uniqueId val="{00000005-3BB0-489D-9F3C-0F56BCA9D998}"/>
                </c:ext>
              </c:extLst>
            </c:dLbl>
            <c:dLbl>
              <c:idx val="3"/>
              <c:delete val="1"/>
              <c:extLst>
                <c:ext xmlns:c15="http://schemas.microsoft.com/office/drawing/2012/chart" uri="{CE6537A1-D6FC-4f65-9D91-7224C49458BB}"/>
                <c:ext xmlns:c16="http://schemas.microsoft.com/office/drawing/2014/chart" uri="{C3380CC4-5D6E-409C-BE32-E72D297353CC}">
                  <c16:uniqueId val="{00000006-3BB0-489D-9F3C-0F56BCA9D998}"/>
                </c:ext>
              </c:extLst>
            </c:dLbl>
            <c:dLbl>
              <c:idx val="4"/>
              <c:layout>
                <c:manualLayout>
                  <c:x val="-1.664912172605509E-2"/>
                  <c:y val="-4.2069634630928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B0-489D-9F3C-0F56BCA9D9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Tables'!$A$24:$A$29</c:f>
              <c:strCache>
                <c:ptCount val="5"/>
                <c:pt idx="0">
                  <c:v>0-1 Miles</c:v>
                </c:pt>
                <c:pt idx="1">
                  <c:v>1-2 Miles</c:v>
                </c:pt>
                <c:pt idx="2">
                  <c:v>2-5 Miles</c:v>
                </c:pt>
                <c:pt idx="3">
                  <c:v>5-10 Miles</c:v>
                </c:pt>
                <c:pt idx="4">
                  <c:v>10+ Miles</c:v>
                </c:pt>
              </c:strCache>
            </c:strRef>
          </c:cat>
          <c:val>
            <c:numRef>
              <c:f>'Pivot Tables'!$B$24:$B$29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EEE-4BC6-BAEC-27DD24DF9124}"/>
            </c:ext>
          </c:extLst>
        </c:ser>
        <c:ser>
          <c:idx val="1"/>
          <c:order val="1"/>
          <c:tx>
            <c:strRef>
              <c:f>'Pivot Tables'!$C$22:$C$23</c:f>
              <c:strCache>
                <c:ptCount val="1"/>
                <c:pt idx="0">
                  <c:v>Yes</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B-9563-47CB-9FBD-BCE607E03352}"/>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2-CB79-4102-A96E-986DFFC1AF9A}"/>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3-CB79-4102-A96E-986DFFC1AF9A}"/>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4-CB79-4102-A96E-986DFFC1AF9A}"/>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13-9563-47CB-9FBD-BCE607E03352}"/>
              </c:ext>
            </c:extLst>
          </c:dPt>
          <c:dLbls>
            <c:dLbl>
              <c:idx val="0"/>
              <c:layout>
                <c:manualLayout>
                  <c:x val="-4.4397657936146903E-2"/>
                  <c:y val="-7.4790461566094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563-47CB-9FBD-BCE607E03352}"/>
                </c:ext>
              </c:extLst>
            </c:dLbl>
            <c:dLbl>
              <c:idx val="1"/>
              <c:delete val="1"/>
              <c:extLst>
                <c:ext xmlns:c15="http://schemas.microsoft.com/office/drawing/2012/chart" uri="{CE6537A1-D6FC-4f65-9D91-7224C49458BB}"/>
                <c:ext xmlns:c16="http://schemas.microsoft.com/office/drawing/2014/chart" uri="{C3380CC4-5D6E-409C-BE32-E72D297353CC}">
                  <c16:uniqueId val="{00000002-CB79-4102-A96E-986DFFC1AF9A}"/>
                </c:ext>
              </c:extLst>
            </c:dLbl>
            <c:dLbl>
              <c:idx val="2"/>
              <c:delete val="1"/>
              <c:extLst>
                <c:ext xmlns:c15="http://schemas.microsoft.com/office/drawing/2012/chart" uri="{CE6537A1-D6FC-4f65-9D91-7224C49458BB}"/>
                <c:ext xmlns:c16="http://schemas.microsoft.com/office/drawing/2014/chart" uri="{C3380CC4-5D6E-409C-BE32-E72D297353CC}">
                  <c16:uniqueId val="{00000003-CB79-4102-A96E-986DFFC1AF9A}"/>
                </c:ext>
              </c:extLst>
            </c:dLbl>
            <c:dLbl>
              <c:idx val="3"/>
              <c:delete val="1"/>
              <c:extLst>
                <c:ext xmlns:c15="http://schemas.microsoft.com/office/drawing/2012/chart" uri="{CE6537A1-D6FC-4f65-9D91-7224C49458BB}"/>
                <c:ext xmlns:c16="http://schemas.microsoft.com/office/drawing/2014/chart" uri="{C3380CC4-5D6E-409C-BE32-E72D297353CC}">
                  <c16:uniqueId val="{00000004-CB79-4102-A96E-986DFFC1AF9A}"/>
                </c:ext>
              </c:extLst>
            </c:dLbl>
            <c:dLbl>
              <c:idx val="4"/>
              <c:layout>
                <c:manualLayout>
                  <c:x val="-1.3874268105045908E-2"/>
                  <c:y val="9.348807695761825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563-47CB-9FBD-BCE607E0335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Tables'!$A$24:$A$29</c:f>
              <c:strCache>
                <c:ptCount val="5"/>
                <c:pt idx="0">
                  <c:v>0-1 Miles</c:v>
                </c:pt>
                <c:pt idx="1">
                  <c:v>1-2 Miles</c:v>
                </c:pt>
                <c:pt idx="2">
                  <c:v>2-5 Miles</c:v>
                </c:pt>
                <c:pt idx="3">
                  <c:v>5-10 Miles</c:v>
                </c:pt>
                <c:pt idx="4">
                  <c:v>10+ Miles</c:v>
                </c:pt>
              </c:strCache>
            </c:strRef>
          </c:cat>
          <c:val>
            <c:numRef>
              <c:f>'Pivot Tables'!$C$24:$C$29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B79-4102-A96E-986DFFC1AF9A}"/>
            </c:ext>
          </c:extLst>
        </c:ser>
        <c:dLbls>
          <c:showLegendKey val="0"/>
          <c:showVal val="1"/>
          <c:showCatName val="0"/>
          <c:showSerName val="0"/>
          <c:showPercent val="0"/>
          <c:showBubbleSize val="0"/>
        </c:dLbls>
        <c:smooth val="0"/>
        <c:axId val="762387184"/>
        <c:axId val="762387664"/>
      </c:lineChart>
      <c:catAx>
        <c:axId val="762387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387664"/>
        <c:crosses val="autoZero"/>
        <c:auto val="1"/>
        <c:lblAlgn val="ctr"/>
        <c:lblOffset val="100"/>
        <c:noMultiLvlLbl val="0"/>
      </c:catAx>
      <c:valAx>
        <c:axId val="762387664"/>
        <c:scaling>
          <c:orientation val="minMax"/>
        </c:scaling>
        <c:delete val="1"/>
        <c:axPos val="l"/>
        <c:numFmt formatCode="General" sourceLinked="1"/>
        <c:majorTickMark val="none"/>
        <c:minorTickMark val="none"/>
        <c:tickLblPos val="nextTo"/>
        <c:crossAx val="76238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2).xlsx]Pivot Tables!PivotTable5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Bike Purchases by Age Group</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50000"/>
            </a:schemeClr>
          </a:solidFill>
          <a:ln>
            <a:noFill/>
          </a:ln>
          <a:effectLst/>
        </c:spPr>
      </c:pivotFmt>
      <c:pivotFmt>
        <c:idx val="12"/>
        <c:spPr>
          <a:solidFill>
            <a:schemeClr val="bg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50000"/>
            </a:schemeClr>
          </a:solidFill>
          <a:ln>
            <a:noFill/>
          </a:ln>
          <a:effectLst/>
        </c:spPr>
      </c:pivotFmt>
    </c:pivotFmts>
    <c:plotArea>
      <c:layout/>
      <c:barChart>
        <c:barDir val="col"/>
        <c:grouping val="clustered"/>
        <c:varyColors val="0"/>
        <c:ser>
          <c:idx val="0"/>
          <c:order val="0"/>
          <c:tx>
            <c:strRef>
              <c:f>'Pivot Tables'!$B$40:$B$41</c:f>
              <c:strCache>
                <c:ptCount val="1"/>
                <c:pt idx="0">
                  <c:v>No</c:v>
                </c:pt>
              </c:strCache>
            </c:strRef>
          </c:tx>
          <c:spPr>
            <a:solidFill>
              <a:schemeClr val="bg1">
                <a:lumMod val="50000"/>
              </a:schemeClr>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9-ED8F-42A9-8B68-F5267F0C864D}"/>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A-ED8F-42A9-8B68-F5267F0C864D}"/>
              </c:ext>
            </c:extLst>
          </c:dPt>
          <c:dLbls>
            <c:dLbl>
              <c:idx val="0"/>
              <c:delete val="1"/>
              <c:extLst>
                <c:ext xmlns:c15="http://schemas.microsoft.com/office/drawing/2012/chart" uri="{CE6537A1-D6FC-4f65-9D91-7224C49458BB}"/>
                <c:ext xmlns:c16="http://schemas.microsoft.com/office/drawing/2014/chart" uri="{C3380CC4-5D6E-409C-BE32-E72D297353CC}">
                  <c16:uniqueId val="{00000009-ED8F-42A9-8B68-F5267F0C864D}"/>
                </c:ext>
              </c:extLst>
            </c:dLbl>
            <c:dLbl>
              <c:idx val="1"/>
              <c:delete val="1"/>
              <c:extLst>
                <c:ext xmlns:c15="http://schemas.microsoft.com/office/drawing/2012/chart" uri="{CE6537A1-D6FC-4f65-9D91-7224C49458BB}"/>
                <c:ext xmlns:c16="http://schemas.microsoft.com/office/drawing/2014/chart" uri="{C3380CC4-5D6E-409C-BE32-E72D297353CC}">
                  <c16:uniqueId val="{0000000A-ED8F-42A9-8B68-F5267F0C86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Tables'!$A$42:$A$46</c:f>
              <c:strCache>
                <c:ptCount val="4"/>
                <c:pt idx="0">
                  <c:v>Adolescence</c:v>
                </c:pt>
                <c:pt idx="1">
                  <c:v>Young</c:v>
                </c:pt>
                <c:pt idx="2">
                  <c:v>Middle Age</c:v>
                </c:pt>
                <c:pt idx="3">
                  <c:v>Old</c:v>
                </c:pt>
              </c:strCache>
            </c:strRef>
          </c:cat>
          <c:val>
            <c:numRef>
              <c:f>'Pivot Tables'!$B$42:$B$46</c:f>
              <c:numCache>
                <c:formatCode>General</c:formatCode>
                <c:ptCount val="4"/>
                <c:pt idx="0">
                  <c:v>127</c:v>
                </c:pt>
                <c:pt idx="1">
                  <c:v>134</c:v>
                </c:pt>
                <c:pt idx="2">
                  <c:v>216</c:v>
                </c:pt>
                <c:pt idx="3">
                  <c:v>42</c:v>
                </c:pt>
              </c:numCache>
            </c:numRef>
          </c:val>
          <c:extLst>
            <c:ext xmlns:c16="http://schemas.microsoft.com/office/drawing/2014/chart" uri="{C3380CC4-5D6E-409C-BE32-E72D297353CC}">
              <c16:uniqueId val="{00000000-8202-4007-BAFD-24746B78ACE5}"/>
            </c:ext>
          </c:extLst>
        </c:ser>
        <c:ser>
          <c:idx val="1"/>
          <c:order val="1"/>
          <c:tx>
            <c:strRef>
              <c:f>'Pivot Tables'!$C$40:$C$41</c:f>
              <c:strCache>
                <c:ptCount val="1"/>
                <c:pt idx="0">
                  <c:v>Yes</c:v>
                </c:pt>
              </c:strCache>
            </c:strRef>
          </c:tx>
          <c:spPr>
            <a:solidFill>
              <a:schemeClr val="accent2"/>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C-ED8F-42A9-8B68-F5267F0C864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6-ED8F-42A9-8B68-F5267F0C864D}"/>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8-ED8F-42A9-8B68-F5267F0C864D}"/>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9-A57C-4615-8CF3-78DA6C1166D1}"/>
              </c:ext>
            </c:extLst>
          </c:dPt>
          <c:dLbls>
            <c:dLbl>
              <c:idx val="0"/>
              <c:delete val="1"/>
              <c:extLst>
                <c:ext xmlns:c15="http://schemas.microsoft.com/office/drawing/2012/chart" uri="{CE6537A1-D6FC-4f65-9D91-7224C49458BB}"/>
                <c:ext xmlns:c16="http://schemas.microsoft.com/office/drawing/2014/chart" uri="{C3380CC4-5D6E-409C-BE32-E72D297353CC}">
                  <c16:uniqueId val="{0000000C-ED8F-42A9-8B68-F5267F0C864D}"/>
                </c:ext>
              </c:extLst>
            </c:dLbl>
            <c:dLbl>
              <c:idx val="1"/>
              <c:delete val="1"/>
              <c:extLst>
                <c:ext xmlns:c15="http://schemas.microsoft.com/office/drawing/2012/chart" uri="{CE6537A1-D6FC-4f65-9D91-7224C49458BB}"/>
                <c:ext xmlns:c16="http://schemas.microsoft.com/office/drawing/2014/chart" uri="{C3380CC4-5D6E-409C-BE32-E72D297353CC}">
                  <c16:uniqueId val="{00000006-ED8F-42A9-8B68-F5267F0C86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Tables'!$A$42:$A$46</c:f>
              <c:strCache>
                <c:ptCount val="4"/>
                <c:pt idx="0">
                  <c:v>Adolescence</c:v>
                </c:pt>
                <c:pt idx="1">
                  <c:v>Young</c:v>
                </c:pt>
                <c:pt idx="2">
                  <c:v>Middle Age</c:v>
                </c:pt>
                <c:pt idx="3">
                  <c:v>Old</c:v>
                </c:pt>
              </c:strCache>
            </c:strRef>
          </c:cat>
          <c:val>
            <c:numRef>
              <c:f>'Pivot Tables'!$C$42:$C$46</c:f>
              <c:numCache>
                <c:formatCode>General</c:formatCode>
                <c:ptCount val="4"/>
                <c:pt idx="0">
                  <c:v>93</c:v>
                </c:pt>
                <c:pt idx="1">
                  <c:v>197</c:v>
                </c:pt>
                <c:pt idx="2">
                  <c:v>174</c:v>
                </c:pt>
                <c:pt idx="3">
                  <c:v>17</c:v>
                </c:pt>
              </c:numCache>
            </c:numRef>
          </c:val>
          <c:extLst>
            <c:ext xmlns:c16="http://schemas.microsoft.com/office/drawing/2014/chart" uri="{C3380CC4-5D6E-409C-BE32-E72D297353CC}">
              <c16:uniqueId val="{00000005-ED8F-42A9-8B68-F5267F0C864D}"/>
            </c:ext>
          </c:extLst>
        </c:ser>
        <c:dLbls>
          <c:dLblPos val="outEnd"/>
          <c:showLegendKey val="0"/>
          <c:showVal val="1"/>
          <c:showCatName val="0"/>
          <c:showSerName val="0"/>
          <c:showPercent val="0"/>
          <c:showBubbleSize val="0"/>
        </c:dLbls>
        <c:gapWidth val="219"/>
        <c:overlap val="-27"/>
        <c:axId val="3575888"/>
        <c:axId val="3576368"/>
      </c:barChart>
      <c:catAx>
        <c:axId val="3575888"/>
        <c:scaling>
          <c:orientation val="minMax"/>
        </c:scaling>
        <c:delete val="1"/>
        <c:axPos val="b"/>
        <c:numFmt formatCode="General" sourceLinked="1"/>
        <c:majorTickMark val="none"/>
        <c:minorTickMark val="none"/>
        <c:tickLblPos val="nextTo"/>
        <c:crossAx val="3576368"/>
        <c:crosses val="autoZero"/>
        <c:auto val="1"/>
        <c:lblAlgn val="ctr"/>
        <c:lblOffset val="100"/>
        <c:noMultiLvlLbl val="0"/>
      </c:catAx>
      <c:valAx>
        <c:axId val="357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(version 2).xlsx]Pivot Tables!PivotTable6</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lumMod val="40000"/>
              <a:lumOff val="60000"/>
            </a:schemeClr>
          </a:solidFill>
          <a:ln>
            <a:noFill/>
          </a:ln>
          <a:effectLst/>
        </c:spPr>
      </c:pivotFmt>
      <c:pivotFmt>
        <c:idx val="17"/>
        <c:spPr>
          <a:solidFill>
            <a:schemeClr val="accent2">
              <a:lumMod val="40000"/>
              <a:lumOff val="60000"/>
            </a:schemeClr>
          </a:solidFill>
          <a:ln>
            <a:noFill/>
          </a:ln>
          <a:effectLst/>
        </c:spPr>
      </c:pivotFmt>
    </c:pivotFmts>
    <c:plotArea>
      <c:layout/>
      <c:barChart>
        <c:barDir val="col"/>
        <c:grouping val="clustered"/>
        <c:varyColors val="0"/>
        <c:ser>
          <c:idx val="0"/>
          <c:order val="0"/>
          <c:tx>
            <c:strRef>
              <c:f>'Pivot Tables'!$B$57:$B$58</c:f>
              <c:strCache>
                <c:ptCount val="1"/>
                <c:pt idx="0">
                  <c:v>No</c:v>
                </c:pt>
              </c:strCache>
            </c:strRef>
          </c:tx>
          <c:spPr>
            <a:solidFill>
              <a:schemeClr val="bg1">
                <a:lumMod val="85000"/>
              </a:schemeClr>
            </a:solidFill>
            <a:ln>
              <a:noFill/>
            </a:ln>
            <a:effectLst/>
          </c:spPr>
          <c:invertIfNegative val="0"/>
          <c:cat>
            <c:strRef>
              <c:f>'Pivot Tables'!$A$59:$A$64</c:f>
              <c:strCache>
                <c:ptCount val="5"/>
                <c:pt idx="0">
                  <c:v>0-1 Miles</c:v>
                </c:pt>
                <c:pt idx="1">
                  <c:v>10+ Miles</c:v>
                </c:pt>
                <c:pt idx="2">
                  <c:v>1-2 Miles</c:v>
                </c:pt>
                <c:pt idx="3">
                  <c:v>2-5 Miles</c:v>
                </c:pt>
                <c:pt idx="4">
                  <c:v>5-10 Miles</c:v>
                </c:pt>
              </c:strCache>
            </c:strRef>
          </c:cat>
          <c:val>
            <c:numRef>
              <c:f>'Pivot Tables'!$B$59:$B$64</c:f>
              <c:numCache>
                <c:formatCode>"$"#,##0.00</c:formatCode>
                <c:ptCount val="5"/>
                <c:pt idx="0">
                  <c:v>47891.566265060239</c:v>
                </c:pt>
                <c:pt idx="1">
                  <c:v>71666.666666666672</c:v>
                </c:pt>
                <c:pt idx="2">
                  <c:v>52391.304347826088</c:v>
                </c:pt>
                <c:pt idx="3">
                  <c:v>56716.417910447759</c:v>
                </c:pt>
                <c:pt idx="4">
                  <c:v>54482.758620689652</c:v>
                </c:pt>
              </c:numCache>
            </c:numRef>
          </c:val>
          <c:extLst>
            <c:ext xmlns:c16="http://schemas.microsoft.com/office/drawing/2014/chart" uri="{C3380CC4-5D6E-409C-BE32-E72D297353CC}">
              <c16:uniqueId val="{00000000-1C33-4508-9E52-536E2524E1CE}"/>
            </c:ext>
          </c:extLst>
        </c:ser>
        <c:ser>
          <c:idx val="1"/>
          <c:order val="1"/>
          <c:tx>
            <c:strRef>
              <c:f>'Pivot Tables'!$C$57:$C$58</c:f>
              <c:strCache>
                <c:ptCount val="1"/>
                <c:pt idx="0">
                  <c:v>Yes</c:v>
                </c:pt>
              </c:strCache>
            </c:strRef>
          </c:tx>
          <c:spPr>
            <a:solidFill>
              <a:schemeClr val="accent2"/>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3033-4D9B-8560-711E2DBB494C}"/>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3033-4D9B-8560-711E2DBB494C}"/>
              </c:ext>
            </c:extLst>
          </c:dPt>
          <c:cat>
            <c:strRef>
              <c:f>'Pivot Tables'!$A$59:$A$64</c:f>
              <c:strCache>
                <c:ptCount val="5"/>
                <c:pt idx="0">
                  <c:v>0-1 Miles</c:v>
                </c:pt>
                <c:pt idx="1">
                  <c:v>10+ Miles</c:v>
                </c:pt>
                <c:pt idx="2">
                  <c:v>1-2 Miles</c:v>
                </c:pt>
                <c:pt idx="3">
                  <c:v>2-5 Miles</c:v>
                </c:pt>
                <c:pt idx="4">
                  <c:v>5-10 Miles</c:v>
                </c:pt>
              </c:strCache>
            </c:strRef>
          </c:cat>
          <c:val>
            <c:numRef>
              <c:f>'Pivot Tables'!$C$59:$C$64</c:f>
              <c:numCache>
                <c:formatCode>"$"#,##0.00</c:formatCode>
                <c:ptCount val="5"/>
                <c:pt idx="0">
                  <c:v>50950</c:v>
                </c:pt>
                <c:pt idx="1">
                  <c:v>82424.242424242431</c:v>
                </c:pt>
                <c:pt idx="2">
                  <c:v>51298.7012987013</c:v>
                </c:pt>
                <c:pt idx="3">
                  <c:v>63157.894736842107</c:v>
                </c:pt>
                <c:pt idx="4">
                  <c:v>66052.631578947374</c:v>
                </c:pt>
              </c:numCache>
            </c:numRef>
          </c:val>
          <c:extLst>
            <c:ext xmlns:c16="http://schemas.microsoft.com/office/drawing/2014/chart" uri="{C3380CC4-5D6E-409C-BE32-E72D297353CC}">
              <c16:uniqueId val="{00000001-3033-4D9B-8560-711E2DBB494C}"/>
            </c:ext>
          </c:extLst>
        </c:ser>
        <c:dLbls>
          <c:showLegendKey val="0"/>
          <c:showVal val="0"/>
          <c:showCatName val="0"/>
          <c:showSerName val="0"/>
          <c:showPercent val="0"/>
          <c:showBubbleSize val="0"/>
        </c:dLbls>
        <c:gapWidth val="219"/>
        <c:overlap val="-27"/>
        <c:axId val="332986080"/>
        <c:axId val="332990400"/>
      </c:barChart>
      <c:catAx>
        <c:axId val="33298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990400"/>
        <c:crosses val="autoZero"/>
        <c:auto val="1"/>
        <c:lblAlgn val="ctr"/>
        <c:lblOffset val="100"/>
        <c:noMultiLvlLbl val="0"/>
      </c:catAx>
      <c:valAx>
        <c:axId val="332990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98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198120</xdr:colOff>
      <xdr:row>0</xdr:row>
      <xdr:rowOff>8965</xdr:rowOff>
    </xdr:from>
    <xdr:to>
      <xdr:col>20</xdr:col>
      <xdr:colOff>17929</xdr:colOff>
      <xdr:row>14</xdr:row>
      <xdr:rowOff>114300</xdr:rowOff>
    </xdr:to>
    <xdr:graphicFrame macro="">
      <xdr:nvGraphicFramePr>
        <xdr:cNvPr id="2" name="Chart 1">
          <a:extLst>
            <a:ext uri="{FF2B5EF4-FFF2-40B4-BE49-F238E27FC236}">
              <a16:creationId xmlns:a16="http://schemas.microsoft.com/office/drawing/2014/main" id="{8BDE091D-8A72-F542-E3C2-DFEE17970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98611</xdr:colOff>
      <xdr:row>15</xdr:row>
      <xdr:rowOff>33840</xdr:rowOff>
    </xdr:from>
    <xdr:to>
      <xdr:col>19</xdr:col>
      <xdr:colOff>188257</xdr:colOff>
      <xdr:row>32</xdr:row>
      <xdr:rowOff>98611</xdr:rowOff>
    </xdr:to>
    <xdr:graphicFrame macro="">
      <xdr:nvGraphicFramePr>
        <xdr:cNvPr id="4" name="Chart 3">
          <a:extLst>
            <a:ext uri="{FF2B5EF4-FFF2-40B4-BE49-F238E27FC236}">
              <a16:creationId xmlns:a16="http://schemas.microsoft.com/office/drawing/2014/main" id="{9EF059A7-2D10-9243-9509-89FBBA2F2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xdr:colOff>
      <xdr:row>34</xdr:row>
      <xdr:rowOff>170329</xdr:rowOff>
    </xdr:from>
    <xdr:to>
      <xdr:col>17</xdr:col>
      <xdr:colOff>167640</xdr:colOff>
      <xdr:row>50</xdr:row>
      <xdr:rowOff>171450</xdr:rowOff>
    </xdr:to>
    <xdr:graphicFrame macro="">
      <xdr:nvGraphicFramePr>
        <xdr:cNvPr id="5" name="Chart 4">
          <a:extLst>
            <a:ext uri="{FF2B5EF4-FFF2-40B4-BE49-F238E27FC236}">
              <a16:creationId xmlns:a16="http://schemas.microsoft.com/office/drawing/2014/main" id="{F479869B-28F4-FB9A-547A-0EB9D5550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175260</xdr:colOff>
      <xdr:row>53</xdr:row>
      <xdr:rowOff>64770</xdr:rowOff>
    </xdr:from>
    <xdr:to>
      <xdr:col>18</xdr:col>
      <xdr:colOff>91440</xdr:colOff>
      <xdr:row>68</xdr:row>
      <xdr:rowOff>22860</xdr:rowOff>
    </xdr:to>
    <xdr:graphicFrame macro="">
      <xdr:nvGraphicFramePr>
        <xdr:cNvPr id="6" name="Chart 5">
          <a:extLst>
            <a:ext uri="{FF2B5EF4-FFF2-40B4-BE49-F238E27FC236}">
              <a16:creationId xmlns:a16="http://schemas.microsoft.com/office/drawing/2014/main" id="{BD24CC11-B611-8D7F-72F2-E130F03F2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160018</xdr:colOff>
      <xdr:row>13</xdr:row>
      <xdr:rowOff>101781</xdr:rowOff>
    </xdr:from>
    <xdr:to>
      <xdr:col>11</xdr:col>
      <xdr:colOff>152400</xdr:colOff>
      <xdr:row>28</xdr:row>
      <xdr:rowOff>21772</xdr:rowOff>
    </xdr:to>
    <xdr:graphicFrame macro="">
      <xdr:nvGraphicFramePr>
        <xdr:cNvPr id="2" name="Chart 1">
          <a:extLst>
            <a:ext uri="{FF2B5EF4-FFF2-40B4-BE49-F238E27FC236}">
              <a16:creationId xmlns:a16="http://schemas.microsoft.com/office/drawing/2014/main" id="{474485AE-12A0-4EF0-AC26-DAEC0F824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327919</xdr:colOff>
      <xdr:row>22</xdr:row>
      <xdr:rowOff>20346</xdr:rowOff>
    </xdr:from>
    <xdr:to>
      <xdr:col>19</xdr:col>
      <xdr:colOff>290945</xdr:colOff>
      <xdr:row>36</xdr:row>
      <xdr:rowOff>158414</xdr:rowOff>
    </xdr:to>
    <xdr:graphicFrame macro="">
      <xdr:nvGraphicFramePr>
        <xdr:cNvPr id="3" name="Chart 2">
          <a:extLst>
            <a:ext uri="{FF2B5EF4-FFF2-40B4-BE49-F238E27FC236}">
              <a16:creationId xmlns:a16="http://schemas.microsoft.com/office/drawing/2014/main" id="{5BF442B4-22BE-4DAA-A21A-C85755CC3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202474</xdr:colOff>
      <xdr:row>7</xdr:row>
      <xdr:rowOff>70760</xdr:rowOff>
    </xdr:from>
    <xdr:to>
      <xdr:col>3</xdr:col>
      <xdr:colOff>446314</xdr:colOff>
      <xdr:row>13</xdr:row>
      <xdr:rowOff>130631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4431C6D-8E12-D77C-45D1-05E9624167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2474" y="1785260"/>
              <a:ext cx="2072640" cy="120287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15</xdr:row>
      <xdr:rowOff>92530</xdr:rowOff>
    </xdr:from>
    <xdr:to>
      <xdr:col>3</xdr:col>
      <xdr:colOff>478971</xdr:colOff>
      <xdr:row>24</xdr:row>
      <xdr:rowOff>174172</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28534252-5161-2D4E-BCE5-5B02DF98F9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13360" y="3331030"/>
              <a:ext cx="2094411" cy="179614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26</xdr:row>
      <xdr:rowOff>59872</xdr:rowOff>
    </xdr:from>
    <xdr:to>
      <xdr:col>3</xdr:col>
      <xdr:colOff>500743</xdr:colOff>
      <xdr:row>35</xdr:row>
      <xdr:rowOff>130628</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C90A9368-08F1-F1E2-33E1-999B7BE7FBA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13360" y="5393872"/>
              <a:ext cx="2116183" cy="178525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337457</xdr:colOff>
      <xdr:row>13</xdr:row>
      <xdr:rowOff>65315</xdr:rowOff>
    </xdr:from>
    <xdr:to>
      <xdr:col>16</xdr:col>
      <xdr:colOff>141514</xdr:colOff>
      <xdr:row>21</xdr:row>
      <xdr:rowOff>30736</xdr:rowOff>
    </xdr:to>
    <xdr:sp macro="" textlink="">
      <xdr:nvSpPr>
        <xdr:cNvPr id="11" name="TextBox 10">
          <a:extLst>
            <a:ext uri="{FF2B5EF4-FFF2-40B4-BE49-F238E27FC236}">
              <a16:creationId xmlns:a16="http://schemas.microsoft.com/office/drawing/2014/main" id="{496BE779-B04C-4C65-855D-8900F432CACB}"/>
            </a:ext>
          </a:extLst>
        </xdr:cNvPr>
        <xdr:cNvSpPr txBox="1"/>
      </xdr:nvSpPr>
      <xdr:spPr>
        <a:xfrm>
          <a:off x="7043057" y="2841172"/>
          <a:ext cx="2852057" cy="1445878"/>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1100">
              <a:solidFill>
                <a:schemeClr val="dk1"/>
              </a:solidFill>
              <a:effectLst/>
              <a:latin typeface="+mn-lt"/>
              <a:ea typeface="+mn-ea"/>
              <a:cs typeface="+mn-cs"/>
            </a:rPr>
            <a:t>• </a:t>
          </a:r>
          <a:r>
            <a:rPr lang="en-CA" sz="1200" b="0">
              <a:solidFill>
                <a:schemeClr val="tx1"/>
              </a:solidFill>
            </a:rPr>
            <a:t>Bike buyers tend to have higher average incomes. </a:t>
          </a:r>
          <a:endParaRPr lang="fa-IR" sz="1200" b="0">
            <a:solidFill>
              <a:schemeClr val="tx1"/>
            </a:solidFill>
          </a:endParaRPr>
        </a:p>
        <a:p>
          <a:pPr algn="l"/>
          <a:r>
            <a:rPr lang="en-CA" sz="1100" b="0">
              <a:solidFill>
                <a:schemeClr val="tx1"/>
              </a:solidFill>
              <a:effectLst/>
              <a:latin typeface="+mn-lt"/>
              <a:ea typeface="+mn-ea"/>
              <a:cs typeface="+mn-cs"/>
            </a:rPr>
            <a:t>• </a:t>
          </a:r>
          <a:r>
            <a:rPr lang="en-CA" sz="1200" b="0">
              <a:solidFill>
                <a:schemeClr val="tx1"/>
              </a:solidFill>
            </a:rPr>
            <a:t>Male customers have a higher average income than female customers.</a:t>
          </a:r>
          <a:endParaRPr lang="fa-IR" sz="1200" b="0">
            <a:solidFill>
              <a:schemeClr val="tx1"/>
            </a:solidFill>
          </a:endParaRPr>
        </a:p>
        <a:p>
          <a:pPr algn="l"/>
          <a:r>
            <a:rPr lang="en-CA" sz="1100" b="0">
              <a:solidFill>
                <a:schemeClr val="tx1"/>
              </a:solidFill>
              <a:effectLst/>
              <a:latin typeface="+mn-lt"/>
              <a:ea typeface="+mn-ea"/>
              <a:cs typeface="+mn-cs"/>
            </a:rPr>
            <a:t>• </a:t>
          </a:r>
          <a:r>
            <a:rPr lang="en-CA" sz="1200" b="0">
              <a:solidFill>
                <a:schemeClr val="tx1"/>
              </a:solidFill>
            </a:rPr>
            <a:t>For both genders, customers who purchased bikes show higher average incomes than non-buyers.</a:t>
          </a:r>
        </a:p>
      </xdr:txBody>
    </xdr:sp>
    <xdr:clientData/>
  </xdr:twoCellAnchor>
  <xdr:twoCellAnchor>
    <xdr:from>
      <xdr:col>11</xdr:col>
      <xdr:colOff>27709</xdr:colOff>
      <xdr:row>15</xdr:row>
      <xdr:rowOff>115552</xdr:rowOff>
    </xdr:from>
    <xdr:to>
      <xdr:col>11</xdr:col>
      <xdr:colOff>260675</xdr:colOff>
      <xdr:row>18</xdr:row>
      <xdr:rowOff>92965</xdr:rowOff>
    </xdr:to>
    <xdr:sp macro="" textlink="">
      <xdr:nvSpPr>
        <xdr:cNvPr id="12" name="Arrow: Right 11">
          <a:extLst>
            <a:ext uri="{FF2B5EF4-FFF2-40B4-BE49-F238E27FC236}">
              <a16:creationId xmlns:a16="http://schemas.microsoft.com/office/drawing/2014/main" id="{223F6DFB-C715-BC8C-05A8-FA8D646002C3}"/>
            </a:ext>
          </a:extLst>
        </xdr:cNvPr>
        <xdr:cNvSpPr/>
      </xdr:nvSpPr>
      <xdr:spPr>
        <a:xfrm>
          <a:off x="6733309" y="3177407"/>
          <a:ext cx="232966" cy="517740"/>
        </a:xfrm>
        <a:prstGeom prst="rightArrow">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chemeClr val="bg1">
                <a:lumMod val="95000"/>
              </a:schemeClr>
            </a:solidFill>
          </a:endParaRPr>
        </a:p>
      </xdr:txBody>
    </xdr:sp>
    <xdr:clientData/>
  </xdr:twoCellAnchor>
  <xdr:twoCellAnchor>
    <xdr:from>
      <xdr:col>16</xdr:col>
      <xdr:colOff>261255</xdr:colOff>
      <xdr:row>13</xdr:row>
      <xdr:rowOff>65316</xdr:rowOff>
    </xdr:from>
    <xdr:to>
      <xdr:col>19</xdr:col>
      <xdr:colOff>261256</xdr:colOff>
      <xdr:row>21</xdr:row>
      <xdr:rowOff>36786</xdr:rowOff>
    </xdr:to>
    <xdr:sp macro="" textlink="">
      <xdr:nvSpPr>
        <xdr:cNvPr id="13" name="TextBox 12">
          <a:extLst>
            <a:ext uri="{FF2B5EF4-FFF2-40B4-BE49-F238E27FC236}">
              <a16:creationId xmlns:a16="http://schemas.microsoft.com/office/drawing/2014/main" id="{5BB9F20B-94BB-4765-8750-42F5761C4C9D}"/>
            </a:ext>
          </a:extLst>
        </xdr:cNvPr>
        <xdr:cNvSpPr txBox="1"/>
      </xdr:nvSpPr>
      <xdr:spPr>
        <a:xfrm>
          <a:off x="10014855" y="2841173"/>
          <a:ext cx="1828801" cy="1451927"/>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CA" sz="1200">
              <a:solidFill>
                <a:schemeClr val="dk1"/>
              </a:solidFill>
              <a:latin typeface="+mn-lt"/>
              <a:ea typeface="+mn-ea"/>
              <a:cs typeface="+mn-cs"/>
            </a:rPr>
            <a:t>• Customers with shorter commute distances show higher bike purchase activity.</a:t>
          </a:r>
        </a:p>
        <a:p>
          <a:pPr marL="0" indent="0" algn="l"/>
          <a:r>
            <a:rPr lang="en-CA" sz="1200">
              <a:solidFill>
                <a:schemeClr val="dk1"/>
              </a:solidFill>
              <a:latin typeface="+mn-lt"/>
              <a:ea typeface="+mn-ea"/>
              <a:cs typeface="+mn-cs"/>
            </a:rPr>
            <a:t>• Purchase frequency decreases as commute distance increases.</a:t>
          </a:r>
        </a:p>
      </xdr:txBody>
    </xdr:sp>
    <xdr:clientData/>
  </xdr:twoCellAnchor>
  <xdr:twoCellAnchor>
    <xdr:from>
      <xdr:col>17</xdr:col>
      <xdr:colOff>333067</xdr:colOff>
      <xdr:row>21</xdr:row>
      <xdr:rowOff>53009</xdr:rowOff>
    </xdr:from>
    <xdr:to>
      <xdr:col>18</xdr:col>
      <xdr:colOff>256866</xdr:colOff>
      <xdr:row>22</xdr:row>
      <xdr:rowOff>79513</xdr:rowOff>
    </xdr:to>
    <xdr:sp macro="" textlink="">
      <xdr:nvSpPr>
        <xdr:cNvPr id="14" name="Arrow: Down 13">
          <a:extLst>
            <a:ext uri="{FF2B5EF4-FFF2-40B4-BE49-F238E27FC236}">
              <a16:creationId xmlns:a16="http://schemas.microsoft.com/office/drawing/2014/main" id="{9BE07FF2-0A4F-214E-0D5F-5876D27F5D15}"/>
            </a:ext>
          </a:extLst>
        </xdr:cNvPr>
        <xdr:cNvSpPr/>
      </xdr:nvSpPr>
      <xdr:spPr>
        <a:xfrm flipV="1">
          <a:off x="10696267" y="4320209"/>
          <a:ext cx="533399" cy="212034"/>
        </a:xfrm>
        <a:prstGeom prst="downArrow">
          <a:avLst/>
        </a:prstGeom>
        <a:solidFill>
          <a:schemeClr val="bg1">
            <a:lumMod val="7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lt1"/>
            </a:solidFill>
            <a:latin typeface="+mn-lt"/>
            <a:ea typeface="+mn-ea"/>
            <a:cs typeface="+mn-cs"/>
          </a:endParaRPr>
        </a:p>
      </xdr:txBody>
    </xdr:sp>
    <xdr:clientData/>
  </xdr:twoCellAnchor>
  <xdr:twoCellAnchor>
    <xdr:from>
      <xdr:col>4</xdr:col>
      <xdr:colOff>287206</xdr:colOff>
      <xdr:row>45</xdr:row>
      <xdr:rowOff>148827</xdr:rowOff>
    </xdr:from>
    <xdr:to>
      <xdr:col>7</xdr:col>
      <xdr:colOff>331693</xdr:colOff>
      <xdr:row>53</xdr:row>
      <xdr:rowOff>109632</xdr:rowOff>
    </xdr:to>
    <xdr:sp macro="" textlink="">
      <xdr:nvSpPr>
        <xdr:cNvPr id="15" name="TextBox 14">
          <a:extLst>
            <a:ext uri="{FF2B5EF4-FFF2-40B4-BE49-F238E27FC236}">
              <a16:creationId xmlns:a16="http://schemas.microsoft.com/office/drawing/2014/main" id="{26B7F30D-B630-425F-9C86-EFB40269EA7C}"/>
            </a:ext>
          </a:extLst>
        </xdr:cNvPr>
        <xdr:cNvSpPr txBox="1"/>
      </xdr:nvSpPr>
      <xdr:spPr>
        <a:xfrm>
          <a:off x="2725606" y="8575651"/>
          <a:ext cx="1873287" cy="1395157"/>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CA" sz="1100">
              <a:solidFill>
                <a:schemeClr val="dk1"/>
              </a:solidFill>
              <a:effectLst/>
              <a:latin typeface="+mn-lt"/>
              <a:ea typeface="+mn-ea"/>
              <a:cs typeface="+mn-cs"/>
            </a:rPr>
            <a:t>• Middle-aged customers represent the largest group of bike buyers.</a:t>
          </a:r>
        </a:p>
        <a:p>
          <a:pPr marL="0" indent="0" algn="l"/>
          <a:r>
            <a:rPr lang="en-CA" sz="1100">
              <a:solidFill>
                <a:schemeClr val="dk1"/>
              </a:solidFill>
              <a:effectLst/>
              <a:latin typeface="+mn-lt"/>
              <a:ea typeface="+mn-ea"/>
              <a:cs typeface="+mn-cs"/>
            </a:rPr>
            <a:t>• Older customers show the lowest bike purchase activity.</a:t>
          </a:r>
        </a:p>
      </xdr:txBody>
    </xdr:sp>
    <xdr:clientData/>
  </xdr:twoCellAnchor>
  <xdr:twoCellAnchor>
    <xdr:from>
      <xdr:col>4</xdr:col>
      <xdr:colOff>334108</xdr:colOff>
      <xdr:row>29</xdr:row>
      <xdr:rowOff>99648</xdr:rowOff>
    </xdr:from>
    <xdr:to>
      <xdr:col>11</xdr:col>
      <xdr:colOff>135540</xdr:colOff>
      <xdr:row>45</xdr:row>
      <xdr:rowOff>11909</xdr:rowOff>
    </xdr:to>
    <xdr:graphicFrame macro="">
      <xdr:nvGraphicFramePr>
        <xdr:cNvPr id="4" name="Chart 3">
          <a:extLst>
            <a:ext uri="{FF2B5EF4-FFF2-40B4-BE49-F238E27FC236}">
              <a16:creationId xmlns:a16="http://schemas.microsoft.com/office/drawing/2014/main" id="{BE1340B1-82F9-4FDC-A909-52D67B751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249382</xdr:colOff>
      <xdr:row>37</xdr:row>
      <xdr:rowOff>152400</xdr:rowOff>
    </xdr:from>
    <xdr:to>
      <xdr:col>19</xdr:col>
      <xdr:colOff>277091</xdr:colOff>
      <xdr:row>53</xdr:row>
      <xdr:rowOff>41564</xdr:rowOff>
    </xdr:to>
    <xdr:graphicFrame macro="">
      <xdr:nvGraphicFramePr>
        <xdr:cNvPr id="6" name="Chart 5">
          <a:extLst>
            <a:ext uri="{FF2B5EF4-FFF2-40B4-BE49-F238E27FC236}">
              <a16:creationId xmlns:a16="http://schemas.microsoft.com/office/drawing/2014/main" id="{5F568018-1EAE-42C3-8A63-AC62B5994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167415</xdr:colOff>
      <xdr:row>44</xdr:row>
      <xdr:rowOff>117231</xdr:rowOff>
    </xdr:from>
    <xdr:to>
      <xdr:col>7</xdr:col>
      <xdr:colOff>91214</xdr:colOff>
      <xdr:row>46</xdr:row>
      <xdr:rowOff>8964</xdr:rowOff>
    </xdr:to>
    <xdr:sp macro="" textlink="">
      <xdr:nvSpPr>
        <xdr:cNvPr id="10" name="Arrow: Down 9">
          <a:extLst>
            <a:ext uri="{FF2B5EF4-FFF2-40B4-BE49-F238E27FC236}">
              <a16:creationId xmlns:a16="http://schemas.microsoft.com/office/drawing/2014/main" id="{BF992A73-B322-424C-8624-53E4CDD6AEFA}"/>
            </a:ext>
          </a:extLst>
        </xdr:cNvPr>
        <xdr:cNvSpPr/>
      </xdr:nvSpPr>
      <xdr:spPr>
        <a:xfrm>
          <a:off x="3825015" y="8475785"/>
          <a:ext cx="533399" cy="255148"/>
        </a:xfrm>
        <a:prstGeom prst="downArrow">
          <a:avLst/>
        </a:prstGeom>
        <a:solidFill>
          <a:schemeClr val="bg1">
            <a:lumMod val="7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466500</xdr:colOff>
      <xdr:row>45</xdr:row>
      <xdr:rowOff>106448</xdr:rowOff>
    </xdr:from>
    <xdr:to>
      <xdr:col>11</xdr:col>
      <xdr:colOff>138545</xdr:colOff>
      <xdr:row>53</xdr:row>
      <xdr:rowOff>67253</xdr:rowOff>
    </xdr:to>
    <xdr:sp macro="" textlink="">
      <xdr:nvSpPr>
        <xdr:cNvPr id="17" name="TextBox 16">
          <a:extLst>
            <a:ext uri="{FF2B5EF4-FFF2-40B4-BE49-F238E27FC236}">
              <a16:creationId xmlns:a16="http://schemas.microsoft.com/office/drawing/2014/main" id="{C9EA3E6D-68BA-42F7-9EE1-217B2C161EB2}"/>
            </a:ext>
          </a:extLst>
        </xdr:cNvPr>
        <xdr:cNvSpPr txBox="1"/>
      </xdr:nvSpPr>
      <xdr:spPr>
        <a:xfrm>
          <a:off x="4733700" y="8571575"/>
          <a:ext cx="2110445" cy="1401678"/>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CA" sz="1100">
              <a:solidFill>
                <a:schemeClr val="dk1"/>
              </a:solidFill>
              <a:effectLst/>
              <a:latin typeface="+mn-lt"/>
              <a:ea typeface="+mn-ea"/>
              <a:cs typeface="+mn-cs"/>
            </a:rPr>
            <a:t>• Higher-income customers are more likely to purchase bikes across most commute categories.</a:t>
          </a:r>
        </a:p>
        <a:p>
          <a:pPr marL="0" indent="0" algn="l"/>
          <a:r>
            <a:rPr lang="en-CA" sz="1100">
              <a:solidFill>
                <a:schemeClr val="dk1"/>
              </a:solidFill>
              <a:effectLst/>
              <a:latin typeface="+mn-lt"/>
              <a:ea typeface="+mn-ea"/>
              <a:cs typeface="+mn-cs"/>
            </a:rPr>
            <a:t>• Income patterns vary across commuting distances and purchase behavior.</a:t>
          </a:r>
        </a:p>
      </xdr:txBody>
    </xdr:sp>
    <xdr:clientData/>
  </xdr:twoCellAnchor>
  <xdr:twoCellAnchor editAs="oneCell">
    <xdr:from>
      <xdr:col>0</xdr:col>
      <xdr:colOff>218803</xdr:colOff>
      <xdr:row>38</xdr:row>
      <xdr:rowOff>31568</xdr:rowOff>
    </xdr:from>
    <xdr:to>
      <xdr:col>3</xdr:col>
      <xdr:colOff>500743</xdr:colOff>
      <xdr:row>46</xdr:row>
      <xdr:rowOff>43541</xdr:rowOff>
    </xdr:to>
    <mc:AlternateContent xmlns:mc="http://schemas.openxmlformats.org/markup-compatibility/2006" xmlns:a14="http://schemas.microsoft.com/office/drawing/2010/main">
      <mc:Choice Requires="a14">
        <xdr:graphicFrame macro="">
          <xdr:nvGraphicFramePr>
            <xdr:cNvPr id="19" name="Age Range">
              <a:extLst>
                <a:ext uri="{FF2B5EF4-FFF2-40B4-BE49-F238E27FC236}">
                  <a16:creationId xmlns:a16="http://schemas.microsoft.com/office/drawing/2014/main" id="{10E6383C-1B67-7782-2A8E-218C52F49D97}"/>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218803" y="7651568"/>
              <a:ext cx="2110740" cy="153597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218803</xdr:colOff>
      <xdr:row>48</xdr:row>
      <xdr:rowOff>109946</xdr:rowOff>
    </xdr:from>
    <xdr:to>
      <xdr:col>3</xdr:col>
      <xdr:colOff>500743</xdr:colOff>
      <xdr:row>53</xdr:row>
      <xdr:rowOff>108856</xdr:rowOff>
    </xdr:to>
    <mc:AlternateContent xmlns:mc="http://schemas.openxmlformats.org/markup-compatibility/2006" xmlns:a14="http://schemas.microsoft.com/office/drawing/2010/main">
      <mc:Choice Requires="a14">
        <xdr:graphicFrame macro="">
          <xdr:nvGraphicFramePr>
            <xdr:cNvPr id="20" name="Marital Status">
              <a:extLst>
                <a:ext uri="{FF2B5EF4-FFF2-40B4-BE49-F238E27FC236}">
                  <a16:creationId xmlns:a16="http://schemas.microsoft.com/office/drawing/2014/main" id="{5EE5E255-123D-B6D7-D729-E5D0D5B5D57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18803" y="9634946"/>
              <a:ext cx="2110740" cy="95141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343919</xdr:colOff>
      <xdr:row>7</xdr:row>
      <xdr:rowOff>63567</xdr:rowOff>
    </xdr:from>
    <xdr:to>
      <xdr:col>14</xdr:col>
      <xdr:colOff>442531</xdr:colOff>
      <xdr:row>12</xdr:row>
      <xdr:rowOff>144249</xdr:rowOff>
    </xdr:to>
    <xdr:sp macro="" textlink="'Pivot Tables'!A84">
      <xdr:nvSpPr>
        <xdr:cNvPr id="23" name="Rectangle 22">
          <a:extLst>
            <a:ext uri="{FF2B5EF4-FFF2-40B4-BE49-F238E27FC236}">
              <a16:creationId xmlns:a16="http://schemas.microsoft.com/office/drawing/2014/main" id="{96666741-86DA-49AE-ABB7-72EF36C5D697}"/>
            </a:ext>
          </a:extLst>
        </xdr:cNvPr>
        <xdr:cNvSpPr/>
      </xdr:nvSpPr>
      <xdr:spPr>
        <a:xfrm>
          <a:off x="7049519" y="1684549"/>
          <a:ext cx="1927412" cy="981227"/>
        </a:xfrm>
        <a:prstGeom prst="rect">
          <a:avLst/>
        </a:prstGeom>
        <a:solidFill>
          <a:schemeClr val="accent4">
            <a:lumMod val="60000"/>
            <a:lumOff val="40000"/>
          </a:schemeClr>
        </a:solidFill>
        <a:ln>
          <a:solidFill>
            <a:schemeClr val="accent4">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US" sz="1800" b="1">
              <a:solidFill>
                <a:schemeClr val="tx1"/>
              </a:solidFill>
              <a:latin typeface="+mn-lt"/>
              <a:ea typeface="+mn-ea"/>
              <a:cs typeface="+mn-cs"/>
            </a:rPr>
            <a:t>Average Income:</a:t>
          </a:r>
        </a:p>
        <a:p>
          <a:pPr marL="0" indent="0" algn="ctr"/>
          <a:fld id="{15D2CD29-DEF8-433A-A0CC-3FFB81E17C45}" type="TxLink">
            <a:rPr lang="en-US" sz="1800" b="1">
              <a:solidFill>
                <a:schemeClr val="tx1"/>
              </a:solidFill>
              <a:latin typeface="+mn-lt"/>
              <a:ea typeface="+mn-ea"/>
              <a:cs typeface="+mn-cs"/>
            </a:rPr>
            <a:pPr marL="0" indent="0" algn="ctr"/>
            <a:t>56360</a:t>
          </a:fld>
          <a:endParaRPr lang="en-CA" sz="1800" b="1">
            <a:solidFill>
              <a:schemeClr val="tx1"/>
            </a:solidFill>
            <a:latin typeface="+mn-lt"/>
            <a:ea typeface="+mn-ea"/>
            <a:cs typeface="+mn-cs"/>
          </a:endParaRPr>
        </a:p>
      </xdr:txBody>
    </xdr:sp>
    <xdr:clientData/>
  </xdr:twoCellAnchor>
  <xdr:twoCellAnchor>
    <xdr:from>
      <xdr:col>15</xdr:col>
      <xdr:colOff>263236</xdr:colOff>
      <xdr:row>7</xdr:row>
      <xdr:rowOff>26894</xdr:rowOff>
    </xdr:from>
    <xdr:to>
      <xdr:col>19</xdr:col>
      <xdr:colOff>251011</xdr:colOff>
      <xdr:row>12</xdr:row>
      <xdr:rowOff>107576</xdr:rowOff>
    </xdr:to>
    <xdr:sp macro="" textlink="'Pivot Tables'!E90">
      <xdr:nvSpPr>
        <xdr:cNvPr id="24" name="Rectangle 23">
          <a:extLst>
            <a:ext uri="{FF2B5EF4-FFF2-40B4-BE49-F238E27FC236}">
              <a16:creationId xmlns:a16="http://schemas.microsoft.com/office/drawing/2014/main" id="{8B549F03-C9E9-492B-BC74-AF8D75B96C2E}"/>
            </a:ext>
          </a:extLst>
        </xdr:cNvPr>
        <xdr:cNvSpPr/>
      </xdr:nvSpPr>
      <xdr:spPr>
        <a:xfrm>
          <a:off x="9407236" y="1647876"/>
          <a:ext cx="2426175" cy="981227"/>
        </a:xfrm>
        <a:prstGeom prst="rect">
          <a:avLst/>
        </a:prstGeom>
        <a:solidFill>
          <a:schemeClr val="accent4">
            <a:lumMod val="20000"/>
            <a:lumOff val="80000"/>
          </a:schemeClr>
        </a:solidFill>
        <a:ln>
          <a:solidFill>
            <a:schemeClr val="accent4">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US" sz="1800" b="1">
              <a:solidFill>
                <a:schemeClr val="tx1"/>
              </a:solidFill>
              <a:latin typeface="+mn-lt"/>
              <a:ea typeface="+mn-ea"/>
              <a:cs typeface="+mn-cs"/>
            </a:rPr>
            <a:t>Over </a:t>
          </a:r>
          <a:fld id="{9DCA8D3F-9ECA-4184-B094-DAB639E29320}" type="TxLink">
            <a:rPr lang="en-US" sz="1800" b="1">
              <a:solidFill>
                <a:schemeClr val="tx1"/>
              </a:solidFill>
              <a:latin typeface="+mn-lt"/>
              <a:ea typeface="+mn-ea"/>
              <a:cs typeface="+mn-cs"/>
            </a:rPr>
            <a:pPr marL="0" indent="0" algn="ctr"/>
            <a:t>53%</a:t>
          </a:fld>
          <a:r>
            <a:rPr lang="en-US" sz="1800" b="1">
              <a:solidFill>
                <a:schemeClr val="tx1"/>
              </a:solidFill>
              <a:latin typeface="+mn-lt"/>
              <a:ea typeface="+mn-ea"/>
              <a:cs typeface="+mn-cs"/>
            </a:rPr>
            <a:t> of buyers are among Professionals and skilled manuals</a:t>
          </a:r>
        </a:p>
      </xdr:txBody>
    </xdr:sp>
    <xdr:clientData/>
  </xdr:twoCellAnchor>
  <xdr:twoCellAnchor>
    <xdr:from>
      <xdr:col>7</xdr:col>
      <xdr:colOff>434585</xdr:colOff>
      <xdr:row>7</xdr:row>
      <xdr:rowOff>62957</xdr:rowOff>
    </xdr:from>
    <xdr:to>
      <xdr:col>10</xdr:col>
      <xdr:colOff>533197</xdr:colOff>
      <xdr:row>12</xdr:row>
      <xdr:rowOff>121022</xdr:rowOff>
    </xdr:to>
    <xdr:sp macro="" textlink="'Pivot Tables'!A77">
      <xdr:nvSpPr>
        <xdr:cNvPr id="18" name="Rectangle 17">
          <a:extLst>
            <a:ext uri="{FF2B5EF4-FFF2-40B4-BE49-F238E27FC236}">
              <a16:creationId xmlns:a16="http://schemas.microsoft.com/office/drawing/2014/main" id="{41BE2E51-1A16-47EF-9757-22AEDB767A9F}"/>
            </a:ext>
          </a:extLst>
        </xdr:cNvPr>
        <xdr:cNvSpPr/>
      </xdr:nvSpPr>
      <xdr:spPr>
        <a:xfrm>
          <a:off x="4701785" y="1676604"/>
          <a:ext cx="1927412" cy="954536"/>
        </a:xfrm>
        <a:prstGeom prst="rect">
          <a:avLst/>
        </a:prstGeom>
        <a:solidFill>
          <a:schemeClr val="accent4">
            <a:lumMod val="75000"/>
          </a:schemeClr>
        </a:solidFill>
        <a:ln>
          <a:solidFill>
            <a:schemeClr val="accent4">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CA" sz="1800" b="1">
              <a:solidFill>
                <a:schemeClr val="bg1"/>
              </a:solidFill>
            </a:rPr>
            <a:t>Purchase Rate:</a:t>
          </a:r>
          <a:endParaRPr lang="en-US" sz="1800" b="1">
            <a:solidFill>
              <a:schemeClr val="bg1"/>
            </a:solidFill>
            <a:latin typeface="+mn-lt"/>
            <a:ea typeface="+mn-ea"/>
            <a:cs typeface="+mn-cs"/>
          </a:endParaRPr>
        </a:p>
        <a:p>
          <a:pPr marL="0" indent="0" algn="ctr"/>
          <a:fld id="{21C7A288-674B-48C7-B600-FED9BBFE1D64}" type="TxLink">
            <a:rPr lang="en-US" sz="1800" b="1">
              <a:solidFill>
                <a:schemeClr val="bg1"/>
              </a:solidFill>
              <a:latin typeface="+mn-lt"/>
              <a:ea typeface="+mn-ea"/>
              <a:cs typeface="+mn-cs"/>
            </a:rPr>
            <a:pPr marL="0" indent="0" algn="ctr"/>
            <a:t>48%</a:t>
          </a:fld>
          <a:endParaRPr lang="en-CA" sz="1800" b="1">
            <a:solidFill>
              <a:schemeClr val="bg1"/>
            </a:solidFill>
            <a:latin typeface="+mn-lt"/>
            <a:ea typeface="+mn-ea"/>
            <a:cs typeface="+mn-cs"/>
          </a:endParaRPr>
        </a:p>
      </xdr:txBody>
    </xdr:sp>
    <xdr:clientData/>
  </xdr:twoCellAnchor>
  <xdr:twoCellAnchor>
    <xdr:from>
      <xdr:col>4</xdr:col>
      <xdr:colOff>179294</xdr:colOff>
      <xdr:row>7</xdr:row>
      <xdr:rowOff>53788</xdr:rowOff>
    </xdr:from>
    <xdr:to>
      <xdr:col>7</xdr:col>
      <xdr:colOff>277906</xdr:colOff>
      <xdr:row>12</xdr:row>
      <xdr:rowOff>111853</xdr:rowOff>
    </xdr:to>
    <xdr:sp macro="" textlink="'Pivot Tables'!A76">
      <xdr:nvSpPr>
        <xdr:cNvPr id="21" name="Rectangle 20">
          <a:extLst>
            <a:ext uri="{FF2B5EF4-FFF2-40B4-BE49-F238E27FC236}">
              <a16:creationId xmlns:a16="http://schemas.microsoft.com/office/drawing/2014/main" id="{B593BF35-7BE1-4DC0-92C8-2AD82F4F707D}"/>
            </a:ext>
          </a:extLst>
        </xdr:cNvPr>
        <xdr:cNvSpPr/>
      </xdr:nvSpPr>
      <xdr:spPr>
        <a:xfrm>
          <a:off x="2617694" y="1667435"/>
          <a:ext cx="1927412" cy="954536"/>
        </a:xfrm>
        <a:prstGeom prst="rect">
          <a:avLst/>
        </a:prstGeom>
        <a:solidFill>
          <a:schemeClr val="accent4">
            <a:lumMod val="50000"/>
          </a:schemeClr>
        </a:solidFill>
        <a:ln>
          <a:solidFill>
            <a:schemeClr val="accent4">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CA" sz="1800" b="1">
              <a:solidFill>
                <a:schemeClr val="bg1"/>
              </a:solidFill>
            </a:rPr>
            <a:t>Total Bike Buyers</a:t>
          </a:r>
          <a:r>
            <a:rPr lang="fa-IR" sz="1800" b="1">
              <a:solidFill>
                <a:schemeClr val="bg1"/>
              </a:solidFill>
            </a:rPr>
            <a:t>:</a:t>
          </a:r>
          <a:endParaRPr lang="fa-IR" sz="1800" b="1" i="0" u="none" strike="noStrike">
            <a:solidFill>
              <a:schemeClr val="bg1"/>
            </a:solidFill>
            <a:effectLst/>
            <a:latin typeface="Calibri"/>
            <a:ea typeface="Calibri"/>
            <a:cs typeface="Calibri"/>
          </a:endParaRPr>
        </a:p>
        <a:p>
          <a:pPr marL="0" indent="0" algn="ctr"/>
          <a:fld id="{282FBBD5-C98E-4E41-BEB4-0F9542393086}" type="TxLink">
            <a:rPr lang="en-US" sz="1800" b="1" i="0" u="none" strike="noStrike">
              <a:solidFill>
                <a:schemeClr val="bg1"/>
              </a:solidFill>
              <a:effectLst/>
              <a:latin typeface="Calibri"/>
              <a:ea typeface="Calibri"/>
              <a:cs typeface="Calibri"/>
            </a:rPr>
            <a:pPr marL="0" indent="0" algn="ctr"/>
            <a:t>481</a:t>
          </a:fld>
          <a:endParaRPr lang="en-CA" sz="5400" b="1">
            <a:solidFill>
              <a:schemeClr val="bg1"/>
            </a:solidFill>
            <a:latin typeface="+mn-lt"/>
            <a:ea typeface="+mn-ea"/>
            <a:cs typeface="+mn-cs"/>
          </a:endParaRPr>
        </a:p>
      </xdr:txBody>
    </xdr:sp>
    <xdr:clientData/>
  </xdr:twoCellAnchor>
  <xdr:twoCellAnchor>
    <xdr:from>
      <xdr:col>11</xdr:col>
      <xdr:colOff>83126</xdr:colOff>
      <xdr:row>46</xdr:row>
      <xdr:rowOff>85602</xdr:rowOff>
    </xdr:from>
    <xdr:to>
      <xdr:col>11</xdr:col>
      <xdr:colOff>312132</xdr:colOff>
      <xdr:row>49</xdr:row>
      <xdr:rowOff>63016</xdr:rowOff>
    </xdr:to>
    <xdr:sp macro="" textlink="">
      <xdr:nvSpPr>
        <xdr:cNvPr id="16" name="Arrow: Right 15">
          <a:extLst>
            <a:ext uri="{FF2B5EF4-FFF2-40B4-BE49-F238E27FC236}">
              <a16:creationId xmlns:a16="http://schemas.microsoft.com/office/drawing/2014/main" id="{D1FE23AB-36B2-4E4F-BF42-0447B789A6FC}"/>
            </a:ext>
          </a:extLst>
        </xdr:cNvPr>
        <xdr:cNvSpPr/>
      </xdr:nvSpPr>
      <xdr:spPr>
        <a:xfrm flipH="1">
          <a:off x="6788726" y="8730838"/>
          <a:ext cx="229006" cy="517742"/>
        </a:xfrm>
        <a:prstGeom prst="rightArrow">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CA" sz="1100">
            <a:solidFill>
              <a:schemeClr val="bg1">
                <a:lumMod val="95000"/>
              </a:schemeClr>
            </a:solidFill>
            <a:latin typeface="+mn-lt"/>
            <a:ea typeface="+mn-ea"/>
            <a:cs typeface="+mn-cs"/>
          </a:endParaRPr>
        </a:p>
      </xdr:txBody>
    </xdr:sp>
    <xdr:clientData/>
  </xdr:twoCellAnchor>
  <xdr:twoCellAnchor>
    <xdr:from>
      <xdr:col>12</xdr:col>
      <xdr:colOff>263769</xdr:colOff>
      <xdr:row>45</xdr:row>
      <xdr:rowOff>17584</xdr:rowOff>
    </xdr:from>
    <xdr:to>
      <xdr:col>17</xdr:col>
      <xdr:colOff>445477</xdr:colOff>
      <xdr:row>45</xdr:row>
      <xdr:rowOff>29307</xdr:rowOff>
    </xdr:to>
    <xdr:cxnSp macro="">
      <xdr:nvCxnSpPr>
        <xdr:cNvPr id="27" name="Straight Connector 26">
          <a:extLst>
            <a:ext uri="{FF2B5EF4-FFF2-40B4-BE49-F238E27FC236}">
              <a16:creationId xmlns:a16="http://schemas.microsoft.com/office/drawing/2014/main" id="{EFDEF632-60B2-7286-E7E0-EABF329097D4}"/>
            </a:ext>
          </a:extLst>
        </xdr:cNvPr>
        <xdr:cNvCxnSpPr/>
      </xdr:nvCxnSpPr>
      <xdr:spPr>
        <a:xfrm flipV="1">
          <a:off x="7578969" y="8557846"/>
          <a:ext cx="3229708" cy="11723"/>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3.xml><?xml version="1.0" encoding="utf-8"?>
<c:userShapes xmlns:c="http://schemas.openxmlformats.org/drawingml/2006/chart">
  <cdr:relSizeAnchor xmlns:cdr="http://schemas.openxmlformats.org/drawingml/2006/chartDrawing">
    <cdr:from>
      <cdr:x>0.52758</cdr:x>
      <cdr:y>0.87114</cdr:y>
    </cdr:from>
    <cdr:to>
      <cdr:x>0.66436</cdr:x>
      <cdr:y>0.97338</cdr:y>
    </cdr:to>
    <cdr:sp macro="" textlink="">
      <cdr:nvSpPr>
        <cdr:cNvPr id="2" name="TextBox 1">
          <a:extLst xmlns:a="http://schemas.openxmlformats.org/drawingml/2006/main">
            <a:ext uri="{FF2B5EF4-FFF2-40B4-BE49-F238E27FC236}">
              <a16:creationId xmlns:a16="http://schemas.microsoft.com/office/drawing/2014/main" id="{16A5F0A4-5ECD-5493-AA84-B4ECD135FC26}"/>
            </a:ext>
          </a:extLst>
        </cdr:cNvPr>
        <cdr:cNvSpPr txBox="1"/>
      </cdr:nvSpPr>
      <cdr:spPr>
        <a:xfrm xmlns:a="http://schemas.openxmlformats.org/drawingml/2006/main">
          <a:off x="2143910" y="2367995"/>
          <a:ext cx="555812" cy="277905"/>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r>
            <a:rPr lang="en-CA" sz="1100" b="1" kern="1200">
              <a:solidFill>
                <a:schemeClr val="bg1">
                  <a:lumMod val="50000"/>
                </a:schemeClr>
              </a:solidFill>
            </a:rPr>
            <a:t>Men</a:t>
          </a:r>
        </a:p>
      </cdr:txBody>
    </cdr:sp>
  </cdr:relSizeAnchor>
  <cdr:relSizeAnchor xmlns:cdr="http://schemas.openxmlformats.org/drawingml/2006/chartDrawing">
    <cdr:from>
      <cdr:x>0.21546</cdr:x>
      <cdr:y>0.86956</cdr:y>
    </cdr:from>
    <cdr:to>
      <cdr:x>0.40625</cdr:x>
      <cdr:y>0.98327</cdr:y>
    </cdr:to>
    <cdr:sp macro="" textlink="">
      <cdr:nvSpPr>
        <cdr:cNvPr id="3" name="TextBox 1">
          <a:extLst xmlns:a="http://schemas.openxmlformats.org/drawingml/2006/main">
            <a:ext uri="{FF2B5EF4-FFF2-40B4-BE49-F238E27FC236}">
              <a16:creationId xmlns:a16="http://schemas.microsoft.com/office/drawing/2014/main" id="{1DD9CCBD-4654-D351-DD8D-E376749F77C0}"/>
            </a:ext>
          </a:extLst>
        </cdr:cNvPr>
        <cdr:cNvSpPr txBox="1"/>
      </cdr:nvSpPr>
      <cdr:spPr>
        <a:xfrm xmlns:a="http://schemas.openxmlformats.org/drawingml/2006/main">
          <a:off x="875552" y="2363694"/>
          <a:ext cx="775299" cy="309101"/>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1100" b="1" kern="1200">
              <a:solidFill>
                <a:schemeClr val="bg1">
                  <a:lumMod val="75000"/>
                </a:schemeClr>
              </a:solidFill>
            </a:rPr>
            <a:t>Women</a:t>
          </a:r>
        </a:p>
      </cdr:txBody>
    </cdr:sp>
  </cdr:relSizeAnchor>
</c:userShapes>
</file>

<file path=xl/drawings/drawing4.xml><?xml version="1.0" encoding="utf-8"?>
<c:userShapes xmlns:c="http://schemas.openxmlformats.org/drawingml/2006/chart">
  <cdr:relSizeAnchor xmlns:cdr="http://schemas.openxmlformats.org/drawingml/2006/chartDrawing">
    <cdr:from>
      <cdr:x>0.60172</cdr:x>
      <cdr:y>0.8849</cdr:y>
    </cdr:from>
    <cdr:to>
      <cdr:x>0.71457</cdr:x>
      <cdr:y>0.98084</cdr:y>
    </cdr:to>
    <cdr:sp macro="" textlink="">
      <cdr:nvSpPr>
        <cdr:cNvPr id="2" name="TextBox 1">
          <a:extLst xmlns:a="http://schemas.openxmlformats.org/drawingml/2006/main">
            <a:ext uri="{FF2B5EF4-FFF2-40B4-BE49-F238E27FC236}">
              <a16:creationId xmlns:a16="http://schemas.microsoft.com/office/drawing/2014/main" id="{ACE45B17-BAEB-6CE3-7C11-DA3AA4AD226C}"/>
            </a:ext>
          </a:extLst>
        </cdr:cNvPr>
        <cdr:cNvSpPr txBox="1"/>
      </cdr:nvSpPr>
      <cdr:spPr>
        <a:xfrm xmlns:a="http://schemas.openxmlformats.org/drawingml/2006/main">
          <a:off x="2448170" y="2460888"/>
          <a:ext cx="459154" cy="266782"/>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800" b="1" kern="1200">
              <a:solidFill>
                <a:schemeClr val="bg1">
                  <a:lumMod val="50000"/>
                </a:schemeClr>
              </a:solidFill>
            </a:rPr>
            <a:t>Old</a:t>
          </a:r>
          <a:endParaRPr lang="en-CA" sz="1100" b="1" kern="1200">
            <a:solidFill>
              <a:schemeClr val="bg1">
                <a:lumMod val="50000"/>
              </a:schemeClr>
            </a:solidFill>
          </a:endParaRPr>
        </a:p>
      </cdr:txBody>
    </cdr:sp>
  </cdr:relSizeAnchor>
  <cdr:relSizeAnchor xmlns:cdr="http://schemas.openxmlformats.org/drawingml/2006/chartDrawing">
    <cdr:from>
      <cdr:x>0.3861</cdr:x>
      <cdr:y>0.86412</cdr:y>
    </cdr:from>
    <cdr:to>
      <cdr:x>0.6094</cdr:x>
      <cdr:y>0.96005</cdr:y>
    </cdr:to>
    <cdr:sp macro="" textlink="">
      <cdr:nvSpPr>
        <cdr:cNvPr id="3" name="TextBox 1">
          <a:extLst xmlns:a="http://schemas.openxmlformats.org/drawingml/2006/main">
            <a:ext uri="{FF2B5EF4-FFF2-40B4-BE49-F238E27FC236}">
              <a16:creationId xmlns:a16="http://schemas.microsoft.com/office/drawing/2014/main" id="{EBDB6228-080F-380B-FB07-B1A48C4752BD}"/>
            </a:ext>
          </a:extLst>
        </cdr:cNvPr>
        <cdr:cNvSpPr txBox="1"/>
      </cdr:nvSpPr>
      <cdr:spPr>
        <a:xfrm xmlns:a="http://schemas.openxmlformats.org/drawingml/2006/main">
          <a:off x="1570892" y="2436446"/>
          <a:ext cx="908538" cy="270487"/>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1100" b="1" kern="1200">
              <a:solidFill>
                <a:schemeClr val="tx1"/>
              </a:solidFill>
            </a:rPr>
            <a:t>Middle age</a:t>
          </a:r>
        </a:p>
      </cdr:txBody>
    </cdr:sp>
  </cdr:relSizeAnchor>
  <cdr:relSizeAnchor xmlns:cdr="http://schemas.openxmlformats.org/drawingml/2006/chartDrawing">
    <cdr:from>
      <cdr:x>0.27613</cdr:x>
      <cdr:y>0.85996</cdr:y>
    </cdr:from>
    <cdr:to>
      <cdr:x>0.39042</cdr:x>
      <cdr:y>0.95589</cdr:y>
    </cdr:to>
    <cdr:sp macro="" textlink="">
      <cdr:nvSpPr>
        <cdr:cNvPr id="4" name="TextBox 1">
          <a:extLst xmlns:a="http://schemas.openxmlformats.org/drawingml/2006/main">
            <a:ext uri="{FF2B5EF4-FFF2-40B4-BE49-F238E27FC236}">
              <a16:creationId xmlns:a16="http://schemas.microsoft.com/office/drawing/2014/main" id="{DF25BBA6-38FA-3E60-E3ED-313383D589A3}"/>
            </a:ext>
          </a:extLst>
        </cdr:cNvPr>
        <cdr:cNvSpPr txBox="1"/>
      </cdr:nvSpPr>
      <cdr:spPr>
        <a:xfrm xmlns:a="http://schemas.openxmlformats.org/drawingml/2006/main">
          <a:off x="1123461" y="2424724"/>
          <a:ext cx="465016" cy="270487"/>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800" b="1" kern="1200">
              <a:solidFill>
                <a:schemeClr val="bg1">
                  <a:lumMod val="50000"/>
                </a:schemeClr>
              </a:solidFill>
            </a:rPr>
            <a:t>Young</a:t>
          </a:r>
          <a:endParaRPr lang="en-CA" sz="1100" b="1" kern="1200">
            <a:solidFill>
              <a:schemeClr val="bg1">
                <a:lumMod val="50000"/>
              </a:schemeClr>
            </a:solidFill>
          </a:endParaRPr>
        </a:p>
      </cdr:txBody>
    </cdr:sp>
  </cdr:relSizeAnchor>
  <cdr:relSizeAnchor xmlns:cdr="http://schemas.openxmlformats.org/drawingml/2006/chartDrawing">
    <cdr:from>
      <cdr:x>0.06771</cdr:x>
      <cdr:y>0.85857</cdr:y>
    </cdr:from>
    <cdr:to>
      <cdr:x>0.25068</cdr:x>
      <cdr:y>0.90015</cdr:y>
    </cdr:to>
    <cdr:sp macro="" textlink="">
      <cdr:nvSpPr>
        <cdr:cNvPr id="5" name="TextBox 1">
          <a:extLst xmlns:a="http://schemas.openxmlformats.org/drawingml/2006/main">
            <a:ext uri="{FF2B5EF4-FFF2-40B4-BE49-F238E27FC236}">
              <a16:creationId xmlns:a16="http://schemas.microsoft.com/office/drawing/2014/main" id="{04109865-F2F5-54B6-F1A4-DEC4D5085600}"/>
            </a:ext>
          </a:extLst>
        </cdr:cNvPr>
        <cdr:cNvSpPr txBox="1"/>
      </cdr:nvSpPr>
      <cdr:spPr>
        <a:xfrm xmlns:a="http://schemas.openxmlformats.org/drawingml/2006/main">
          <a:off x="275491" y="2420814"/>
          <a:ext cx="744417" cy="117231"/>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800" b="1" kern="1200">
              <a:solidFill>
                <a:schemeClr val="bg1">
                  <a:lumMod val="50000"/>
                </a:schemeClr>
              </a:solidFill>
            </a:rPr>
            <a:t>Adolescense</a:t>
          </a:r>
        </a:p>
      </cdr:txBody>
    </cdr:sp>
  </cdr:relSizeAnchor>
</c:userShapes>
</file>

<file path=xl/drawings/drawing5.xml><?xml version="1.0" encoding="utf-8"?>
<c:userShapes xmlns:c="http://schemas.openxmlformats.org/drawingml/2006/chart">
  <cdr:relSizeAnchor xmlns:cdr="http://schemas.openxmlformats.org/drawingml/2006/chartDrawing">
    <cdr:from>
      <cdr:x>0.77405</cdr:x>
      <cdr:y>0.30981</cdr:y>
    </cdr:from>
    <cdr:to>
      <cdr:x>0.99522</cdr:x>
      <cdr:y>0.40285</cdr:y>
    </cdr:to>
    <cdr:sp macro="" textlink="">
      <cdr:nvSpPr>
        <cdr:cNvPr id="2" name="TextBox 1">
          <a:extLst xmlns:a="http://schemas.openxmlformats.org/drawingml/2006/main">
            <a:ext uri="{FF2B5EF4-FFF2-40B4-BE49-F238E27FC236}">
              <a16:creationId xmlns:a16="http://schemas.microsoft.com/office/drawing/2014/main" id="{1367DB93-5D99-BD66-72F8-C6D48106EF79}"/>
            </a:ext>
          </a:extLst>
        </cdr:cNvPr>
        <cdr:cNvSpPr txBox="1"/>
      </cdr:nvSpPr>
      <cdr:spPr>
        <a:xfrm xmlns:a="http://schemas.openxmlformats.org/drawingml/2006/main">
          <a:off x="3796323" y="900724"/>
          <a:ext cx="1084740" cy="270487"/>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CA" sz="1100" b="1" kern="1200">
              <a:solidFill>
                <a:schemeClr val="tx1"/>
              </a:solidFill>
            </a:rPr>
            <a:t>Average Income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yed Amin" refreshedDate="46141.969480671294" createdVersion="8" refreshedVersion="8" minRefreshableVersion="3" recordCount="1000" xr:uid="{65787658-9ED9-4ECC-94DB-ED964E37656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4">
        <s v="Young"/>
        <s v="Middle Age"/>
        <s v="Adolescence"/>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992443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1"/>
    <x v="0"/>
  </r>
  <r>
    <n v="27974"/>
    <x v="1"/>
    <x v="1"/>
    <n v="160000"/>
    <n v="2"/>
    <x v="2"/>
    <x v="4"/>
    <s v="Yes"/>
    <n v="4"/>
    <x v="0"/>
    <x v="1"/>
    <n v="33"/>
    <x v="2"/>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1"/>
    <x v="1"/>
  </r>
  <r>
    <n v="20870"/>
    <x v="1"/>
    <x v="0"/>
    <n v="10000"/>
    <n v="2"/>
    <x v="2"/>
    <x v="3"/>
    <s v="Yes"/>
    <n v="1"/>
    <x v="0"/>
    <x v="0"/>
    <n v="38"/>
    <x v="0"/>
    <x v="1"/>
  </r>
  <r>
    <n v="23316"/>
    <x v="1"/>
    <x v="1"/>
    <n v="30000"/>
    <n v="3"/>
    <x v="1"/>
    <x v="1"/>
    <s v="No"/>
    <n v="2"/>
    <x v="3"/>
    <x v="1"/>
    <n v="59"/>
    <x v="1"/>
    <x v="1"/>
  </r>
  <r>
    <n v="12610"/>
    <x v="0"/>
    <x v="0"/>
    <n v="30000"/>
    <n v="1"/>
    <x v="0"/>
    <x v="1"/>
    <s v="Yes"/>
    <n v="0"/>
    <x v="0"/>
    <x v="0"/>
    <n v="47"/>
    <x v="1"/>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2"/>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2"/>
    <x v="1"/>
  </r>
  <r>
    <n v="19273"/>
    <x v="0"/>
    <x v="0"/>
    <n v="20000"/>
    <n v="2"/>
    <x v="1"/>
    <x v="3"/>
    <s v="Yes"/>
    <n v="0"/>
    <x v="0"/>
    <x v="0"/>
    <n v="63"/>
    <x v="1"/>
    <x v="0"/>
  </r>
  <r>
    <n v="22400"/>
    <x v="0"/>
    <x v="1"/>
    <n v="10000"/>
    <n v="0"/>
    <x v="1"/>
    <x v="3"/>
    <s v="No"/>
    <n v="1"/>
    <x v="0"/>
    <x v="1"/>
    <n v="26"/>
    <x v="2"/>
    <x v="1"/>
  </r>
  <r>
    <n v="20942"/>
    <x v="1"/>
    <x v="0"/>
    <n v="20000"/>
    <n v="0"/>
    <x v="2"/>
    <x v="3"/>
    <s v="No"/>
    <n v="1"/>
    <x v="2"/>
    <x v="0"/>
    <n v="31"/>
    <x v="2"/>
    <x v="0"/>
  </r>
  <r>
    <n v="18484"/>
    <x v="1"/>
    <x v="1"/>
    <n v="80000"/>
    <n v="2"/>
    <x v="2"/>
    <x v="0"/>
    <s v="No"/>
    <n v="2"/>
    <x v="3"/>
    <x v="1"/>
    <n v="50"/>
    <x v="1"/>
    <x v="1"/>
  </r>
  <r>
    <n v="12291"/>
    <x v="1"/>
    <x v="1"/>
    <n v="90000"/>
    <n v="5"/>
    <x v="1"/>
    <x v="2"/>
    <s v="No"/>
    <n v="2"/>
    <x v="1"/>
    <x v="0"/>
    <n v="62"/>
    <x v="1"/>
    <x v="1"/>
  </r>
  <r>
    <n v="28380"/>
    <x v="1"/>
    <x v="0"/>
    <n v="10000"/>
    <n v="5"/>
    <x v="3"/>
    <x v="3"/>
    <s v="No"/>
    <n v="2"/>
    <x v="0"/>
    <x v="0"/>
    <n v="41"/>
    <x v="0"/>
    <x v="0"/>
  </r>
  <r>
    <n v="17891"/>
    <x v="0"/>
    <x v="0"/>
    <n v="10000"/>
    <n v="2"/>
    <x v="1"/>
    <x v="3"/>
    <s v="Yes"/>
    <n v="1"/>
    <x v="0"/>
    <x v="0"/>
    <n v="50"/>
    <x v="1"/>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3"/>
    <x v="1"/>
  </r>
  <r>
    <n v="17703"/>
    <x v="0"/>
    <x v="0"/>
    <n v="10000"/>
    <n v="1"/>
    <x v="4"/>
    <x v="3"/>
    <s v="Yes"/>
    <n v="0"/>
    <x v="0"/>
    <x v="0"/>
    <n v="40"/>
    <x v="0"/>
    <x v="0"/>
  </r>
  <r>
    <n v="17185"/>
    <x v="0"/>
    <x v="0"/>
    <n v="170000"/>
    <n v="4"/>
    <x v="1"/>
    <x v="2"/>
    <s v="No"/>
    <n v="3"/>
    <x v="2"/>
    <x v="0"/>
    <n v="48"/>
    <x v="1"/>
    <x v="1"/>
  </r>
  <r>
    <n v="29380"/>
    <x v="0"/>
    <x v="0"/>
    <n v="20000"/>
    <n v="3"/>
    <x v="2"/>
    <x v="3"/>
    <s v="Yes"/>
    <n v="0"/>
    <x v="0"/>
    <x v="0"/>
    <n v="41"/>
    <x v="0"/>
    <x v="1"/>
  </r>
  <r>
    <n v="23986"/>
    <x v="0"/>
    <x v="0"/>
    <n v="20000"/>
    <n v="1"/>
    <x v="0"/>
    <x v="1"/>
    <s v="Yes"/>
    <n v="0"/>
    <x v="0"/>
    <x v="0"/>
    <n v="66"/>
    <x v="3"/>
    <x v="1"/>
  </r>
  <r>
    <n v="24466"/>
    <x v="0"/>
    <x v="0"/>
    <n v="60000"/>
    <n v="1"/>
    <x v="1"/>
    <x v="0"/>
    <s v="Yes"/>
    <n v="1"/>
    <x v="2"/>
    <x v="1"/>
    <n v="46"/>
    <x v="1"/>
    <x v="1"/>
  </r>
  <r>
    <n v="29097"/>
    <x v="1"/>
    <x v="0"/>
    <n v="40000"/>
    <n v="2"/>
    <x v="1"/>
    <x v="0"/>
    <s v="Yes"/>
    <n v="2"/>
    <x v="2"/>
    <x v="1"/>
    <n v="52"/>
    <x v="1"/>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3"/>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1"/>
    <x v="0"/>
  </r>
  <r>
    <n v="19291"/>
    <x v="1"/>
    <x v="0"/>
    <n v="10000"/>
    <n v="2"/>
    <x v="2"/>
    <x v="3"/>
    <s v="Yes"/>
    <n v="0"/>
    <x v="0"/>
    <x v="0"/>
    <n v="35"/>
    <x v="0"/>
    <x v="0"/>
  </r>
  <r>
    <n v="16713"/>
    <x v="0"/>
    <x v="1"/>
    <n v="40000"/>
    <n v="2"/>
    <x v="0"/>
    <x v="4"/>
    <s v="Yes"/>
    <n v="1"/>
    <x v="0"/>
    <x v="1"/>
    <n v="52"/>
    <x v="1"/>
    <x v="1"/>
  </r>
  <r>
    <n v="16185"/>
    <x v="1"/>
    <x v="1"/>
    <n v="60000"/>
    <n v="4"/>
    <x v="0"/>
    <x v="2"/>
    <s v="Yes"/>
    <n v="3"/>
    <x v="4"/>
    <x v="1"/>
    <n v="41"/>
    <x v="0"/>
    <x v="0"/>
  </r>
  <r>
    <n v="14927"/>
    <x v="0"/>
    <x v="0"/>
    <n v="30000"/>
    <n v="1"/>
    <x v="0"/>
    <x v="1"/>
    <s v="Yes"/>
    <n v="0"/>
    <x v="0"/>
    <x v="0"/>
    <n v="37"/>
    <x v="0"/>
    <x v="1"/>
  </r>
  <r>
    <n v="29337"/>
    <x v="1"/>
    <x v="1"/>
    <n v="30000"/>
    <n v="2"/>
    <x v="1"/>
    <x v="1"/>
    <s v="Yes"/>
    <n v="2"/>
    <x v="2"/>
    <x v="1"/>
    <n v="68"/>
    <x v="3"/>
    <x v="0"/>
  </r>
  <r>
    <n v="29355"/>
    <x v="0"/>
    <x v="0"/>
    <n v="40000"/>
    <n v="0"/>
    <x v="4"/>
    <x v="1"/>
    <s v="Yes"/>
    <n v="0"/>
    <x v="0"/>
    <x v="0"/>
    <n v="37"/>
    <x v="0"/>
    <x v="1"/>
  </r>
  <r>
    <n v="25303"/>
    <x v="1"/>
    <x v="1"/>
    <n v="30000"/>
    <n v="0"/>
    <x v="2"/>
    <x v="3"/>
    <s v="Yes"/>
    <n v="1"/>
    <x v="1"/>
    <x v="0"/>
    <n v="33"/>
    <x v="2"/>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1"/>
    <x v="0"/>
  </r>
  <r>
    <n v="26956"/>
    <x v="1"/>
    <x v="0"/>
    <n v="20000"/>
    <n v="0"/>
    <x v="1"/>
    <x v="3"/>
    <s v="No"/>
    <n v="1"/>
    <x v="1"/>
    <x v="0"/>
    <n v="36"/>
    <x v="0"/>
    <x v="1"/>
  </r>
  <r>
    <n v="14517"/>
    <x v="0"/>
    <x v="0"/>
    <n v="20000"/>
    <n v="3"/>
    <x v="2"/>
    <x v="0"/>
    <s v="No"/>
    <n v="2"/>
    <x v="3"/>
    <x v="1"/>
    <n v="62"/>
    <x v="1"/>
    <x v="0"/>
  </r>
  <r>
    <n v="12678"/>
    <x v="1"/>
    <x v="0"/>
    <n v="130000"/>
    <n v="4"/>
    <x v="2"/>
    <x v="4"/>
    <s v="Yes"/>
    <n v="4"/>
    <x v="0"/>
    <x v="1"/>
    <n v="31"/>
    <x v="2"/>
    <x v="0"/>
  </r>
  <r>
    <n v="16188"/>
    <x v="1"/>
    <x v="0"/>
    <n v="20000"/>
    <n v="0"/>
    <x v="3"/>
    <x v="3"/>
    <s v="No"/>
    <n v="2"/>
    <x v="3"/>
    <x v="0"/>
    <n v="26"/>
    <x v="2"/>
    <x v="0"/>
  </r>
  <r>
    <n v="27969"/>
    <x v="0"/>
    <x v="1"/>
    <n v="80000"/>
    <n v="0"/>
    <x v="0"/>
    <x v="2"/>
    <s v="Yes"/>
    <n v="2"/>
    <x v="4"/>
    <x v="1"/>
    <n v="29"/>
    <x v="2"/>
    <x v="1"/>
  </r>
  <r>
    <n v="15752"/>
    <x v="0"/>
    <x v="1"/>
    <n v="80000"/>
    <n v="2"/>
    <x v="2"/>
    <x v="0"/>
    <s v="No"/>
    <n v="2"/>
    <x v="3"/>
    <x v="1"/>
    <n v="50"/>
    <x v="1"/>
    <x v="1"/>
  </r>
  <r>
    <n v="27745"/>
    <x v="1"/>
    <x v="1"/>
    <n v="40000"/>
    <n v="2"/>
    <x v="0"/>
    <x v="4"/>
    <s v="Yes"/>
    <n v="2"/>
    <x v="2"/>
    <x v="1"/>
    <n v="63"/>
    <x v="1"/>
    <x v="1"/>
  </r>
  <r>
    <n v="20828"/>
    <x v="0"/>
    <x v="0"/>
    <n v="30000"/>
    <n v="4"/>
    <x v="4"/>
    <x v="1"/>
    <s v="Yes"/>
    <n v="0"/>
    <x v="0"/>
    <x v="0"/>
    <n v="45"/>
    <x v="1"/>
    <x v="1"/>
  </r>
  <r>
    <n v="19461"/>
    <x v="1"/>
    <x v="0"/>
    <n v="10000"/>
    <n v="4"/>
    <x v="3"/>
    <x v="3"/>
    <s v="Yes"/>
    <n v="2"/>
    <x v="0"/>
    <x v="0"/>
    <n v="40"/>
    <x v="0"/>
    <x v="0"/>
  </r>
  <r>
    <n v="26941"/>
    <x v="0"/>
    <x v="1"/>
    <n v="30000"/>
    <n v="0"/>
    <x v="0"/>
    <x v="1"/>
    <s v="Yes"/>
    <n v="0"/>
    <x v="0"/>
    <x v="0"/>
    <n v="47"/>
    <x v="1"/>
    <x v="1"/>
  </r>
  <r>
    <n v="28412"/>
    <x v="1"/>
    <x v="1"/>
    <n v="20000"/>
    <n v="0"/>
    <x v="2"/>
    <x v="3"/>
    <s v="No"/>
    <n v="1"/>
    <x v="1"/>
    <x v="0"/>
    <n v="29"/>
    <x v="2"/>
    <x v="0"/>
  </r>
  <r>
    <n v="24485"/>
    <x v="1"/>
    <x v="1"/>
    <n v="40000"/>
    <n v="2"/>
    <x v="0"/>
    <x v="4"/>
    <s v="No"/>
    <n v="1"/>
    <x v="2"/>
    <x v="1"/>
    <n v="52"/>
    <x v="1"/>
    <x v="1"/>
  </r>
  <r>
    <n v="16514"/>
    <x v="1"/>
    <x v="1"/>
    <n v="10000"/>
    <n v="0"/>
    <x v="1"/>
    <x v="3"/>
    <s v="Yes"/>
    <n v="1"/>
    <x v="3"/>
    <x v="1"/>
    <n v="26"/>
    <x v="2"/>
    <x v="1"/>
  </r>
  <r>
    <n v="17191"/>
    <x v="1"/>
    <x v="1"/>
    <n v="130000"/>
    <n v="3"/>
    <x v="1"/>
    <x v="2"/>
    <s v="No"/>
    <n v="3"/>
    <x v="0"/>
    <x v="0"/>
    <n v="51"/>
    <x v="1"/>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2"/>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1"/>
    <x v="0"/>
  </r>
  <r>
    <n v="26139"/>
    <x v="1"/>
    <x v="1"/>
    <n v="60000"/>
    <n v="1"/>
    <x v="1"/>
    <x v="0"/>
    <s v="Yes"/>
    <n v="1"/>
    <x v="2"/>
    <x v="1"/>
    <n v="45"/>
    <x v="1"/>
    <x v="0"/>
  </r>
  <r>
    <n v="18491"/>
    <x v="1"/>
    <x v="0"/>
    <n v="70000"/>
    <n v="2"/>
    <x v="2"/>
    <x v="2"/>
    <s v="Yes"/>
    <n v="2"/>
    <x v="2"/>
    <x v="1"/>
    <n v="49"/>
    <x v="1"/>
    <x v="1"/>
  </r>
  <r>
    <n v="22707"/>
    <x v="1"/>
    <x v="0"/>
    <n v="30000"/>
    <n v="0"/>
    <x v="1"/>
    <x v="1"/>
    <s v="No"/>
    <n v="1"/>
    <x v="1"/>
    <x v="0"/>
    <n v="30"/>
    <x v="2"/>
    <x v="0"/>
  </r>
  <r>
    <n v="20430"/>
    <x v="0"/>
    <x v="1"/>
    <n v="70000"/>
    <n v="2"/>
    <x v="1"/>
    <x v="0"/>
    <s v="Yes"/>
    <n v="2"/>
    <x v="2"/>
    <x v="1"/>
    <n v="52"/>
    <x v="1"/>
    <x v="1"/>
  </r>
  <r>
    <n v="27494"/>
    <x v="1"/>
    <x v="0"/>
    <n v="40000"/>
    <n v="2"/>
    <x v="1"/>
    <x v="0"/>
    <s v="No"/>
    <n v="2"/>
    <x v="3"/>
    <x v="1"/>
    <n v="53"/>
    <x v="1"/>
    <x v="1"/>
  </r>
  <r>
    <n v="26829"/>
    <x v="0"/>
    <x v="0"/>
    <n v="40000"/>
    <n v="0"/>
    <x v="0"/>
    <x v="1"/>
    <s v="Yes"/>
    <n v="0"/>
    <x v="0"/>
    <x v="0"/>
    <n v="38"/>
    <x v="0"/>
    <x v="1"/>
  </r>
  <r>
    <n v="28395"/>
    <x v="1"/>
    <x v="1"/>
    <n v="40000"/>
    <n v="0"/>
    <x v="0"/>
    <x v="2"/>
    <s v="No"/>
    <n v="0"/>
    <x v="0"/>
    <x v="0"/>
    <n v="39"/>
    <x v="0"/>
    <x v="1"/>
  </r>
  <r>
    <n v="21006"/>
    <x v="1"/>
    <x v="0"/>
    <n v="30000"/>
    <n v="1"/>
    <x v="1"/>
    <x v="3"/>
    <s v="No"/>
    <n v="0"/>
    <x v="0"/>
    <x v="0"/>
    <n v="46"/>
    <x v="1"/>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3"/>
    <x v="1"/>
  </r>
  <r>
    <n v="15922"/>
    <x v="0"/>
    <x v="1"/>
    <n v="150000"/>
    <n v="2"/>
    <x v="2"/>
    <x v="2"/>
    <s v="Yes"/>
    <n v="4"/>
    <x v="0"/>
    <x v="0"/>
    <n v="48"/>
    <x v="1"/>
    <x v="0"/>
  </r>
  <r>
    <n v="12344"/>
    <x v="1"/>
    <x v="0"/>
    <n v="80000"/>
    <n v="0"/>
    <x v="0"/>
    <x v="2"/>
    <s v="No"/>
    <n v="3"/>
    <x v="4"/>
    <x v="1"/>
    <n v="31"/>
    <x v="2"/>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2"/>
    <x v="0"/>
  </r>
  <r>
    <n v="12472"/>
    <x v="0"/>
    <x v="1"/>
    <n v="30000"/>
    <n v="1"/>
    <x v="0"/>
    <x v="1"/>
    <s v="Yes"/>
    <n v="1"/>
    <x v="1"/>
    <x v="0"/>
    <n v="39"/>
    <x v="0"/>
    <x v="0"/>
  </r>
  <r>
    <n v="20970"/>
    <x v="1"/>
    <x v="1"/>
    <n v="10000"/>
    <n v="2"/>
    <x v="1"/>
    <x v="3"/>
    <s v="Yes"/>
    <n v="1"/>
    <x v="0"/>
    <x v="0"/>
    <n v="52"/>
    <x v="1"/>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3"/>
    <x v="1"/>
  </r>
  <r>
    <n v="21094"/>
    <x v="1"/>
    <x v="0"/>
    <n v="30000"/>
    <n v="2"/>
    <x v="1"/>
    <x v="1"/>
    <s v="Yes"/>
    <n v="2"/>
    <x v="0"/>
    <x v="0"/>
    <n v="42"/>
    <x v="0"/>
    <x v="0"/>
  </r>
  <r>
    <n v="12234"/>
    <x v="0"/>
    <x v="1"/>
    <n v="10000"/>
    <n v="2"/>
    <x v="1"/>
    <x v="3"/>
    <s v="Yes"/>
    <n v="1"/>
    <x v="1"/>
    <x v="0"/>
    <n v="52"/>
    <x v="1"/>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2"/>
    <x v="0"/>
  </r>
  <r>
    <n v="20877"/>
    <x v="1"/>
    <x v="1"/>
    <n v="30000"/>
    <n v="1"/>
    <x v="0"/>
    <x v="1"/>
    <s v="Yes"/>
    <n v="0"/>
    <x v="3"/>
    <x v="0"/>
    <n v="37"/>
    <x v="0"/>
    <x v="1"/>
  </r>
  <r>
    <n v="20729"/>
    <x v="0"/>
    <x v="0"/>
    <n v="40000"/>
    <n v="2"/>
    <x v="1"/>
    <x v="1"/>
    <s v="No"/>
    <n v="1"/>
    <x v="0"/>
    <x v="0"/>
    <n v="34"/>
    <x v="2"/>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1"/>
    <x v="0"/>
  </r>
  <r>
    <n v="17845"/>
    <x v="1"/>
    <x v="0"/>
    <n v="20000"/>
    <n v="0"/>
    <x v="3"/>
    <x v="3"/>
    <s v="No"/>
    <n v="2"/>
    <x v="3"/>
    <x v="0"/>
    <n v="32"/>
    <x v="2"/>
    <x v="0"/>
  </r>
  <r>
    <n v="25058"/>
    <x v="0"/>
    <x v="1"/>
    <n v="100000"/>
    <n v="1"/>
    <x v="0"/>
    <x v="4"/>
    <s v="Yes"/>
    <n v="3"/>
    <x v="1"/>
    <x v="1"/>
    <n v="47"/>
    <x v="1"/>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1"/>
    <x v="0"/>
  </r>
  <r>
    <n v="25605"/>
    <x v="1"/>
    <x v="0"/>
    <n v="20000"/>
    <n v="2"/>
    <x v="1"/>
    <x v="3"/>
    <s v="No"/>
    <n v="1"/>
    <x v="0"/>
    <x v="0"/>
    <n v="54"/>
    <x v="1"/>
    <x v="1"/>
  </r>
  <r>
    <n v="20797"/>
    <x v="0"/>
    <x v="0"/>
    <n v="10000"/>
    <n v="1"/>
    <x v="0"/>
    <x v="3"/>
    <s v="Yes"/>
    <n v="0"/>
    <x v="0"/>
    <x v="0"/>
    <n v="48"/>
    <x v="1"/>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1"/>
    <x v="0"/>
  </r>
  <r>
    <n v="22402"/>
    <x v="0"/>
    <x v="1"/>
    <n v="10000"/>
    <n v="0"/>
    <x v="1"/>
    <x v="3"/>
    <s v="Yes"/>
    <n v="1"/>
    <x v="1"/>
    <x v="1"/>
    <n v="25"/>
    <x v="2"/>
    <x v="1"/>
  </r>
  <r>
    <n v="15465"/>
    <x v="0"/>
    <x v="0"/>
    <n v="10000"/>
    <n v="0"/>
    <x v="1"/>
    <x v="3"/>
    <s v="No"/>
    <n v="1"/>
    <x v="0"/>
    <x v="1"/>
    <n v="25"/>
    <x v="2"/>
    <x v="0"/>
  </r>
  <r>
    <n v="26757"/>
    <x v="1"/>
    <x v="1"/>
    <n v="90000"/>
    <n v="1"/>
    <x v="0"/>
    <x v="2"/>
    <s v="Yes"/>
    <n v="1"/>
    <x v="1"/>
    <x v="1"/>
    <n v="47"/>
    <x v="1"/>
    <x v="1"/>
  </r>
  <r>
    <n v="14233"/>
    <x v="1"/>
    <x v="1"/>
    <n v="100000"/>
    <n v="0"/>
    <x v="2"/>
    <x v="4"/>
    <s v="Yes"/>
    <n v="3"/>
    <x v="4"/>
    <x v="1"/>
    <n v="35"/>
    <x v="0"/>
    <x v="0"/>
  </r>
  <r>
    <n v="14058"/>
    <x v="1"/>
    <x v="1"/>
    <n v="70000"/>
    <n v="0"/>
    <x v="0"/>
    <x v="2"/>
    <s v="No"/>
    <n v="1"/>
    <x v="2"/>
    <x v="1"/>
    <n v="41"/>
    <x v="0"/>
    <x v="1"/>
  </r>
  <r>
    <n v="12273"/>
    <x v="0"/>
    <x v="1"/>
    <n v="30000"/>
    <n v="1"/>
    <x v="0"/>
    <x v="1"/>
    <s v="Yes"/>
    <n v="0"/>
    <x v="0"/>
    <x v="0"/>
    <n v="47"/>
    <x v="1"/>
    <x v="0"/>
  </r>
  <r>
    <n v="17203"/>
    <x v="0"/>
    <x v="0"/>
    <n v="130000"/>
    <n v="4"/>
    <x v="1"/>
    <x v="2"/>
    <s v="Yes"/>
    <n v="4"/>
    <x v="2"/>
    <x v="0"/>
    <n v="61"/>
    <x v="1"/>
    <x v="1"/>
  </r>
  <r>
    <n v="18144"/>
    <x v="0"/>
    <x v="0"/>
    <n v="80000"/>
    <n v="5"/>
    <x v="0"/>
    <x v="4"/>
    <s v="Yes"/>
    <n v="2"/>
    <x v="1"/>
    <x v="0"/>
    <n v="61"/>
    <x v="1"/>
    <x v="0"/>
  </r>
  <r>
    <n v="23963"/>
    <x v="0"/>
    <x v="1"/>
    <n v="10000"/>
    <n v="0"/>
    <x v="3"/>
    <x v="3"/>
    <s v="No"/>
    <n v="2"/>
    <x v="0"/>
    <x v="0"/>
    <n v="33"/>
    <x v="2"/>
    <x v="0"/>
  </r>
  <r>
    <n v="17907"/>
    <x v="0"/>
    <x v="0"/>
    <n v="10000"/>
    <n v="0"/>
    <x v="1"/>
    <x v="3"/>
    <s v="Yes"/>
    <n v="1"/>
    <x v="1"/>
    <x v="1"/>
    <n v="27"/>
    <x v="2"/>
    <x v="0"/>
  </r>
  <r>
    <n v="19442"/>
    <x v="1"/>
    <x v="1"/>
    <n v="50000"/>
    <n v="0"/>
    <x v="4"/>
    <x v="0"/>
    <s v="Yes"/>
    <n v="0"/>
    <x v="0"/>
    <x v="0"/>
    <n v="37"/>
    <x v="0"/>
    <x v="1"/>
  </r>
  <r>
    <n v="17504"/>
    <x v="1"/>
    <x v="0"/>
    <n v="80000"/>
    <n v="2"/>
    <x v="1"/>
    <x v="0"/>
    <s v="Yes"/>
    <n v="2"/>
    <x v="2"/>
    <x v="1"/>
    <n v="52"/>
    <x v="1"/>
    <x v="1"/>
  </r>
  <r>
    <n v="12253"/>
    <x v="1"/>
    <x v="0"/>
    <n v="20000"/>
    <n v="0"/>
    <x v="1"/>
    <x v="3"/>
    <s v="Yes"/>
    <n v="0"/>
    <x v="0"/>
    <x v="1"/>
    <n v="29"/>
    <x v="2"/>
    <x v="1"/>
  </r>
  <r>
    <n v="27304"/>
    <x v="1"/>
    <x v="0"/>
    <n v="110000"/>
    <n v="2"/>
    <x v="1"/>
    <x v="2"/>
    <s v="No"/>
    <n v="3"/>
    <x v="2"/>
    <x v="0"/>
    <n v="48"/>
    <x v="1"/>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3"/>
    <x v="1"/>
  </r>
  <r>
    <n v="28918"/>
    <x v="0"/>
    <x v="0"/>
    <n v="130000"/>
    <n v="4"/>
    <x v="2"/>
    <x v="4"/>
    <s v="No"/>
    <n v="4"/>
    <x v="4"/>
    <x v="0"/>
    <n v="58"/>
    <x v="1"/>
    <x v="0"/>
  </r>
  <r>
    <n v="15799"/>
    <x v="0"/>
    <x v="0"/>
    <n v="90000"/>
    <n v="1"/>
    <x v="0"/>
    <x v="2"/>
    <s v="Yes"/>
    <n v="1"/>
    <x v="1"/>
    <x v="1"/>
    <n v="47"/>
    <x v="1"/>
    <x v="1"/>
  </r>
  <r>
    <n v="11047"/>
    <x v="0"/>
    <x v="0"/>
    <n v="30000"/>
    <n v="3"/>
    <x v="2"/>
    <x v="0"/>
    <s v="No"/>
    <n v="2"/>
    <x v="3"/>
    <x v="1"/>
    <n v="56"/>
    <x v="1"/>
    <x v="1"/>
  </r>
  <r>
    <n v="18151"/>
    <x v="1"/>
    <x v="1"/>
    <n v="80000"/>
    <n v="5"/>
    <x v="1"/>
    <x v="2"/>
    <s v="No"/>
    <n v="2"/>
    <x v="4"/>
    <x v="0"/>
    <n v="59"/>
    <x v="1"/>
    <x v="0"/>
  </r>
  <r>
    <n v="20606"/>
    <x v="0"/>
    <x v="0"/>
    <n v="70000"/>
    <n v="0"/>
    <x v="0"/>
    <x v="2"/>
    <s v="Yes"/>
    <n v="4"/>
    <x v="4"/>
    <x v="1"/>
    <n v="32"/>
    <x v="2"/>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2"/>
    <x v="0"/>
  </r>
  <r>
    <n v="25559"/>
    <x v="1"/>
    <x v="1"/>
    <n v="20000"/>
    <n v="0"/>
    <x v="0"/>
    <x v="1"/>
    <s v="Yes"/>
    <n v="0"/>
    <x v="0"/>
    <x v="1"/>
    <n v="25"/>
    <x v="2"/>
    <x v="1"/>
  </r>
  <r>
    <n v="16209"/>
    <x v="1"/>
    <x v="0"/>
    <n v="50000"/>
    <n v="0"/>
    <x v="4"/>
    <x v="0"/>
    <s v="Yes"/>
    <n v="0"/>
    <x v="3"/>
    <x v="0"/>
    <n v="36"/>
    <x v="0"/>
    <x v="0"/>
  </r>
  <r>
    <n v="11147"/>
    <x v="0"/>
    <x v="1"/>
    <n v="60000"/>
    <n v="2"/>
    <x v="4"/>
    <x v="4"/>
    <s v="Yes"/>
    <n v="1"/>
    <x v="0"/>
    <x v="1"/>
    <n v="67"/>
    <x v="3"/>
    <x v="1"/>
  </r>
  <r>
    <n v="15214"/>
    <x v="1"/>
    <x v="0"/>
    <n v="100000"/>
    <n v="0"/>
    <x v="4"/>
    <x v="4"/>
    <s v="No"/>
    <n v="1"/>
    <x v="3"/>
    <x v="1"/>
    <n v="39"/>
    <x v="0"/>
    <x v="1"/>
  </r>
  <r>
    <n v="11453"/>
    <x v="1"/>
    <x v="1"/>
    <n v="80000"/>
    <n v="0"/>
    <x v="0"/>
    <x v="2"/>
    <s v="No"/>
    <n v="3"/>
    <x v="4"/>
    <x v="1"/>
    <n v="33"/>
    <x v="2"/>
    <x v="1"/>
  </r>
  <r>
    <n v="24584"/>
    <x v="1"/>
    <x v="1"/>
    <n v="60000"/>
    <n v="0"/>
    <x v="0"/>
    <x v="2"/>
    <s v="No"/>
    <n v="3"/>
    <x v="1"/>
    <x v="1"/>
    <n v="31"/>
    <x v="2"/>
    <x v="0"/>
  </r>
  <r>
    <n v="12585"/>
    <x v="0"/>
    <x v="1"/>
    <n v="10000"/>
    <n v="1"/>
    <x v="2"/>
    <x v="3"/>
    <s v="Yes"/>
    <n v="0"/>
    <x v="1"/>
    <x v="1"/>
    <n v="27"/>
    <x v="2"/>
    <x v="1"/>
  </r>
  <r>
    <n v="18626"/>
    <x v="1"/>
    <x v="1"/>
    <n v="40000"/>
    <n v="2"/>
    <x v="1"/>
    <x v="1"/>
    <s v="Yes"/>
    <n v="0"/>
    <x v="3"/>
    <x v="0"/>
    <n v="33"/>
    <x v="2"/>
    <x v="1"/>
  </r>
  <r>
    <n v="29298"/>
    <x v="1"/>
    <x v="0"/>
    <n v="60000"/>
    <n v="1"/>
    <x v="1"/>
    <x v="0"/>
    <s v="Yes"/>
    <n v="1"/>
    <x v="2"/>
    <x v="1"/>
    <n v="46"/>
    <x v="1"/>
    <x v="1"/>
  </r>
  <r>
    <n v="24842"/>
    <x v="1"/>
    <x v="0"/>
    <n v="90000"/>
    <n v="3"/>
    <x v="2"/>
    <x v="2"/>
    <s v="No"/>
    <n v="1"/>
    <x v="1"/>
    <x v="0"/>
    <n v="51"/>
    <x v="1"/>
    <x v="0"/>
  </r>
  <r>
    <n v="15657"/>
    <x v="0"/>
    <x v="1"/>
    <n v="30000"/>
    <n v="3"/>
    <x v="4"/>
    <x v="1"/>
    <s v="Yes"/>
    <n v="0"/>
    <x v="0"/>
    <x v="0"/>
    <n v="46"/>
    <x v="1"/>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2"/>
    <x v="1"/>
  </r>
  <r>
    <n v="25553"/>
    <x v="0"/>
    <x v="1"/>
    <n v="30000"/>
    <n v="1"/>
    <x v="0"/>
    <x v="1"/>
    <s v="Yes"/>
    <n v="0"/>
    <x v="0"/>
    <x v="0"/>
    <n v="65"/>
    <x v="3"/>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1"/>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3"/>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1"/>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1"/>
    <x v="0"/>
  </r>
  <r>
    <n v="24174"/>
    <x v="0"/>
    <x v="1"/>
    <n v="20000"/>
    <n v="0"/>
    <x v="0"/>
    <x v="1"/>
    <s v="Yes"/>
    <n v="0"/>
    <x v="0"/>
    <x v="1"/>
    <n v="27"/>
    <x v="2"/>
    <x v="1"/>
  </r>
  <r>
    <n v="24611"/>
    <x v="1"/>
    <x v="1"/>
    <n v="90000"/>
    <n v="0"/>
    <x v="0"/>
    <x v="2"/>
    <s v="No"/>
    <n v="4"/>
    <x v="4"/>
    <x v="1"/>
    <n v="35"/>
    <x v="0"/>
    <x v="1"/>
  </r>
  <r>
    <n v="11340"/>
    <x v="0"/>
    <x v="0"/>
    <n v="10000"/>
    <n v="1"/>
    <x v="4"/>
    <x v="1"/>
    <s v="Yes"/>
    <n v="0"/>
    <x v="0"/>
    <x v="0"/>
    <n v="70"/>
    <x v="3"/>
    <x v="1"/>
  </r>
  <r>
    <n v="25693"/>
    <x v="1"/>
    <x v="0"/>
    <n v="30000"/>
    <n v="5"/>
    <x v="4"/>
    <x v="1"/>
    <s v="Yes"/>
    <n v="0"/>
    <x v="0"/>
    <x v="0"/>
    <n v="44"/>
    <x v="0"/>
    <x v="1"/>
  </r>
  <r>
    <n v="25555"/>
    <x v="0"/>
    <x v="0"/>
    <n v="10000"/>
    <n v="0"/>
    <x v="1"/>
    <x v="3"/>
    <s v="No"/>
    <n v="1"/>
    <x v="0"/>
    <x v="1"/>
    <n v="26"/>
    <x v="2"/>
    <x v="1"/>
  </r>
  <r>
    <n v="22006"/>
    <x v="0"/>
    <x v="1"/>
    <n v="70000"/>
    <n v="5"/>
    <x v="1"/>
    <x v="0"/>
    <s v="Yes"/>
    <n v="3"/>
    <x v="2"/>
    <x v="1"/>
    <n v="46"/>
    <x v="1"/>
    <x v="0"/>
  </r>
  <r>
    <n v="20060"/>
    <x v="1"/>
    <x v="0"/>
    <n v="30000"/>
    <n v="0"/>
    <x v="2"/>
    <x v="3"/>
    <s v="No"/>
    <n v="1"/>
    <x v="1"/>
    <x v="0"/>
    <n v="34"/>
    <x v="2"/>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1"/>
    <x v="1"/>
  </r>
  <r>
    <n v="18494"/>
    <x v="0"/>
    <x v="1"/>
    <n v="110000"/>
    <n v="5"/>
    <x v="0"/>
    <x v="4"/>
    <s v="Yes"/>
    <n v="4"/>
    <x v="1"/>
    <x v="1"/>
    <n v="48"/>
    <x v="1"/>
    <x v="1"/>
  </r>
  <r>
    <n v="11249"/>
    <x v="0"/>
    <x v="0"/>
    <n v="130000"/>
    <n v="3"/>
    <x v="1"/>
    <x v="2"/>
    <s v="Yes"/>
    <n v="3"/>
    <x v="0"/>
    <x v="0"/>
    <n v="51"/>
    <x v="1"/>
    <x v="1"/>
  </r>
  <r>
    <n v="21568"/>
    <x v="0"/>
    <x v="0"/>
    <n v="100000"/>
    <n v="0"/>
    <x v="2"/>
    <x v="4"/>
    <s v="Yes"/>
    <n v="4"/>
    <x v="4"/>
    <x v="1"/>
    <n v="34"/>
    <x v="2"/>
    <x v="1"/>
  </r>
  <r>
    <n v="13981"/>
    <x v="0"/>
    <x v="0"/>
    <n v="10000"/>
    <n v="5"/>
    <x v="2"/>
    <x v="0"/>
    <s v="No"/>
    <n v="3"/>
    <x v="3"/>
    <x v="1"/>
    <n v="62"/>
    <x v="1"/>
    <x v="0"/>
  </r>
  <r>
    <n v="23432"/>
    <x v="1"/>
    <x v="1"/>
    <n v="70000"/>
    <n v="0"/>
    <x v="0"/>
    <x v="2"/>
    <s v="Yes"/>
    <n v="1"/>
    <x v="2"/>
    <x v="1"/>
    <n v="37"/>
    <x v="0"/>
    <x v="1"/>
  </r>
  <r>
    <n v="22931"/>
    <x v="0"/>
    <x v="1"/>
    <n v="100000"/>
    <n v="5"/>
    <x v="4"/>
    <x v="4"/>
    <s v="No"/>
    <n v="1"/>
    <x v="3"/>
    <x v="1"/>
    <n v="78"/>
    <x v="3"/>
    <x v="1"/>
  </r>
  <r>
    <n v="18172"/>
    <x v="0"/>
    <x v="1"/>
    <n v="130000"/>
    <n v="4"/>
    <x v="2"/>
    <x v="2"/>
    <s v="Yes"/>
    <n v="3"/>
    <x v="0"/>
    <x v="0"/>
    <n v="55"/>
    <x v="1"/>
    <x v="0"/>
  </r>
  <r>
    <n v="12666"/>
    <x v="1"/>
    <x v="1"/>
    <n v="60000"/>
    <n v="0"/>
    <x v="0"/>
    <x v="2"/>
    <s v="No"/>
    <n v="4"/>
    <x v="1"/>
    <x v="1"/>
    <n v="31"/>
    <x v="2"/>
    <x v="0"/>
  </r>
  <r>
    <n v="20598"/>
    <x v="0"/>
    <x v="1"/>
    <n v="100000"/>
    <n v="3"/>
    <x v="3"/>
    <x v="2"/>
    <s v="Yes"/>
    <n v="0"/>
    <x v="4"/>
    <x v="0"/>
    <n v="59"/>
    <x v="1"/>
    <x v="1"/>
  </r>
  <r>
    <n v="21375"/>
    <x v="1"/>
    <x v="1"/>
    <n v="20000"/>
    <n v="2"/>
    <x v="3"/>
    <x v="1"/>
    <s v="Yes"/>
    <n v="2"/>
    <x v="2"/>
    <x v="1"/>
    <n v="57"/>
    <x v="1"/>
    <x v="0"/>
  </r>
  <r>
    <n v="20839"/>
    <x v="1"/>
    <x v="0"/>
    <n v="30000"/>
    <n v="3"/>
    <x v="4"/>
    <x v="1"/>
    <s v="Yes"/>
    <n v="0"/>
    <x v="0"/>
    <x v="0"/>
    <n v="47"/>
    <x v="1"/>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2"/>
    <x v="1"/>
  </r>
  <r>
    <n v="28468"/>
    <x v="0"/>
    <x v="0"/>
    <n v="10000"/>
    <n v="2"/>
    <x v="1"/>
    <x v="3"/>
    <s v="Yes"/>
    <n v="0"/>
    <x v="3"/>
    <x v="0"/>
    <n v="51"/>
    <x v="1"/>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1"/>
    <x v="1"/>
  </r>
  <r>
    <n v="19626"/>
    <x v="0"/>
    <x v="1"/>
    <n v="70000"/>
    <n v="5"/>
    <x v="1"/>
    <x v="0"/>
    <s v="Yes"/>
    <n v="3"/>
    <x v="2"/>
    <x v="1"/>
    <n v="45"/>
    <x v="1"/>
    <x v="0"/>
  </r>
  <r>
    <n v="21039"/>
    <x v="1"/>
    <x v="0"/>
    <n v="50000"/>
    <n v="0"/>
    <x v="4"/>
    <x v="0"/>
    <s v="No"/>
    <n v="0"/>
    <x v="0"/>
    <x v="0"/>
    <n v="37"/>
    <x v="0"/>
    <x v="1"/>
  </r>
  <r>
    <n v="12231"/>
    <x v="1"/>
    <x v="0"/>
    <n v="10000"/>
    <n v="2"/>
    <x v="1"/>
    <x v="3"/>
    <s v="Yes"/>
    <n v="0"/>
    <x v="0"/>
    <x v="0"/>
    <n v="51"/>
    <x v="1"/>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1"/>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2"/>
    <x v="0"/>
  </r>
  <r>
    <n v="22005"/>
    <x v="0"/>
    <x v="0"/>
    <n v="70000"/>
    <n v="5"/>
    <x v="1"/>
    <x v="0"/>
    <s v="No"/>
    <n v="3"/>
    <x v="2"/>
    <x v="1"/>
    <n v="46"/>
    <x v="1"/>
    <x v="0"/>
  </r>
  <r>
    <n v="14544"/>
    <x v="1"/>
    <x v="1"/>
    <n v="10000"/>
    <n v="1"/>
    <x v="1"/>
    <x v="3"/>
    <s v="Yes"/>
    <n v="0"/>
    <x v="0"/>
    <x v="0"/>
    <n v="49"/>
    <x v="1"/>
    <x v="0"/>
  </r>
  <r>
    <n v="14312"/>
    <x v="0"/>
    <x v="0"/>
    <n v="60000"/>
    <n v="1"/>
    <x v="1"/>
    <x v="0"/>
    <s v="Yes"/>
    <n v="1"/>
    <x v="2"/>
    <x v="1"/>
    <n v="45"/>
    <x v="1"/>
    <x v="0"/>
  </r>
  <r>
    <n v="29120"/>
    <x v="1"/>
    <x v="0"/>
    <n v="100000"/>
    <n v="1"/>
    <x v="0"/>
    <x v="4"/>
    <s v="Yes"/>
    <n v="4"/>
    <x v="1"/>
    <x v="1"/>
    <n v="48"/>
    <x v="1"/>
    <x v="0"/>
  </r>
  <r>
    <n v="24187"/>
    <x v="1"/>
    <x v="0"/>
    <n v="30000"/>
    <n v="3"/>
    <x v="4"/>
    <x v="1"/>
    <s v="No"/>
    <n v="0"/>
    <x v="0"/>
    <x v="0"/>
    <n v="46"/>
    <x v="1"/>
    <x v="1"/>
  </r>
  <r>
    <n v="15758"/>
    <x v="0"/>
    <x v="1"/>
    <n v="130000"/>
    <n v="0"/>
    <x v="4"/>
    <x v="4"/>
    <s v="Yes"/>
    <n v="0"/>
    <x v="2"/>
    <x v="1"/>
    <n v="48"/>
    <x v="1"/>
    <x v="0"/>
  </r>
  <r>
    <n v="29094"/>
    <x v="0"/>
    <x v="1"/>
    <n v="30000"/>
    <n v="3"/>
    <x v="2"/>
    <x v="0"/>
    <s v="Yes"/>
    <n v="2"/>
    <x v="2"/>
    <x v="1"/>
    <n v="54"/>
    <x v="1"/>
    <x v="1"/>
  </r>
  <r>
    <n v="28319"/>
    <x v="1"/>
    <x v="0"/>
    <n v="60000"/>
    <n v="1"/>
    <x v="1"/>
    <x v="0"/>
    <s v="No"/>
    <n v="1"/>
    <x v="0"/>
    <x v="1"/>
    <n v="46"/>
    <x v="1"/>
    <x v="1"/>
  </r>
  <r>
    <n v="16406"/>
    <x v="0"/>
    <x v="1"/>
    <n v="40000"/>
    <n v="0"/>
    <x v="0"/>
    <x v="1"/>
    <s v="No"/>
    <n v="0"/>
    <x v="0"/>
    <x v="0"/>
    <n v="38"/>
    <x v="0"/>
    <x v="1"/>
  </r>
  <r>
    <n v="20923"/>
    <x v="0"/>
    <x v="0"/>
    <n v="40000"/>
    <n v="1"/>
    <x v="0"/>
    <x v="0"/>
    <s v="Yes"/>
    <n v="0"/>
    <x v="0"/>
    <x v="0"/>
    <n v="42"/>
    <x v="0"/>
    <x v="1"/>
  </r>
  <r>
    <n v="11378"/>
    <x v="1"/>
    <x v="0"/>
    <n v="10000"/>
    <n v="1"/>
    <x v="2"/>
    <x v="3"/>
    <s v="No"/>
    <n v="1"/>
    <x v="1"/>
    <x v="0"/>
    <n v="46"/>
    <x v="1"/>
    <x v="1"/>
  </r>
  <r>
    <n v="20851"/>
    <x v="1"/>
    <x v="1"/>
    <n v="20000"/>
    <n v="0"/>
    <x v="1"/>
    <x v="3"/>
    <s v="No"/>
    <n v="1"/>
    <x v="1"/>
    <x v="0"/>
    <n v="36"/>
    <x v="0"/>
    <x v="1"/>
  </r>
  <r>
    <n v="21557"/>
    <x v="1"/>
    <x v="0"/>
    <n v="110000"/>
    <n v="0"/>
    <x v="1"/>
    <x v="4"/>
    <s v="Yes"/>
    <n v="3"/>
    <x v="4"/>
    <x v="1"/>
    <n v="32"/>
    <x v="2"/>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3"/>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3"/>
    <x v="0"/>
  </r>
  <r>
    <n v="28758"/>
    <x v="0"/>
    <x v="1"/>
    <n v="40000"/>
    <n v="2"/>
    <x v="1"/>
    <x v="1"/>
    <s v="Yes"/>
    <n v="1"/>
    <x v="3"/>
    <x v="0"/>
    <n v="35"/>
    <x v="0"/>
    <x v="1"/>
  </r>
  <r>
    <n v="11381"/>
    <x v="0"/>
    <x v="0"/>
    <n v="20000"/>
    <n v="2"/>
    <x v="1"/>
    <x v="3"/>
    <s v="Yes"/>
    <n v="1"/>
    <x v="1"/>
    <x v="0"/>
    <n v="47"/>
    <x v="1"/>
    <x v="1"/>
  </r>
  <r>
    <n v="17522"/>
    <x v="0"/>
    <x v="1"/>
    <n v="120000"/>
    <n v="4"/>
    <x v="0"/>
    <x v="4"/>
    <s v="Yes"/>
    <n v="1"/>
    <x v="1"/>
    <x v="1"/>
    <n v="47"/>
    <x v="1"/>
    <x v="0"/>
  </r>
  <r>
    <n v="21207"/>
    <x v="0"/>
    <x v="1"/>
    <n v="60000"/>
    <n v="1"/>
    <x v="1"/>
    <x v="0"/>
    <s v="Yes"/>
    <n v="1"/>
    <x v="2"/>
    <x v="1"/>
    <n v="46"/>
    <x v="1"/>
    <x v="0"/>
  </r>
  <r>
    <n v="28102"/>
    <x v="0"/>
    <x v="1"/>
    <n v="20000"/>
    <n v="4"/>
    <x v="2"/>
    <x v="0"/>
    <s v="Yes"/>
    <n v="2"/>
    <x v="2"/>
    <x v="1"/>
    <n v="58"/>
    <x v="1"/>
    <x v="1"/>
  </r>
  <r>
    <n v="23105"/>
    <x v="1"/>
    <x v="1"/>
    <n v="40000"/>
    <n v="3"/>
    <x v="3"/>
    <x v="1"/>
    <s v="No"/>
    <n v="2"/>
    <x v="2"/>
    <x v="1"/>
    <n v="52"/>
    <x v="1"/>
    <x v="1"/>
  </r>
  <r>
    <n v="18740"/>
    <x v="0"/>
    <x v="1"/>
    <n v="80000"/>
    <n v="5"/>
    <x v="0"/>
    <x v="2"/>
    <s v="No"/>
    <n v="1"/>
    <x v="0"/>
    <x v="1"/>
    <n v="47"/>
    <x v="1"/>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1"/>
    <x v="0"/>
  </r>
  <r>
    <n v="20228"/>
    <x v="0"/>
    <x v="1"/>
    <n v="100000"/>
    <n v="0"/>
    <x v="4"/>
    <x v="4"/>
    <s v="Yes"/>
    <n v="0"/>
    <x v="1"/>
    <x v="1"/>
    <n v="40"/>
    <x v="0"/>
    <x v="1"/>
  </r>
  <r>
    <n v="16675"/>
    <x v="1"/>
    <x v="0"/>
    <n v="160000"/>
    <n v="0"/>
    <x v="4"/>
    <x v="4"/>
    <s v="No"/>
    <n v="3"/>
    <x v="0"/>
    <x v="1"/>
    <n v="47"/>
    <x v="1"/>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2"/>
    <x v="0"/>
  </r>
  <r>
    <n v="19508"/>
    <x v="0"/>
    <x v="1"/>
    <n v="10000"/>
    <n v="0"/>
    <x v="3"/>
    <x v="3"/>
    <s v="No"/>
    <n v="2"/>
    <x v="0"/>
    <x v="0"/>
    <n v="30"/>
    <x v="2"/>
    <x v="0"/>
  </r>
  <r>
    <n v="11489"/>
    <x v="1"/>
    <x v="0"/>
    <n v="20000"/>
    <n v="0"/>
    <x v="3"/>
    <x v="3"/>
    <s v="No"/>
    <n v="2"/>
    <x v="3"/>
    <x v="0"/>
    <n v="35"/>
    <x v="0"/>
    <x v="1"/>
  </r>
  <r>
    <n v="18160"/>
    <x v="0"/>
    <x v="1"/>
    <n v="130000"/>
    <n v="3"/>
    <x v="2"/>
    <x v="2"/>
    <s v="Yes"/>
    <n v="4"/>
    <x v="2"/>
    <x v="0"/>
    <n v="51"/>
    <x v="1"/>
    <x v="1"/>
  </r>
  <r>
    <n v="25241"/>
    <x v="0"/>
    <x v="1"/>
    <n v="90000"/>
    <n v="2"/>
    <x v="0"/>
    <x v="2"/>
    <s v="Yes"/>
    <n v="1"/>
    <x v="2"/>
    <x v="1"/>
    <n v="47"/>
    <x v="1"/>
    <x v="0"/>
  </r>
  <r>
    <n v="24369"/>
    <x v="0"/>
    <x v="1"/>
    <n v="80000"/>
    <n v="5"/>
    <x v="4"/>
    <x v="4"/>
    <s v="No"/>
    <n v="2"/>
    <x v="0"/>
    <x v="1"/>
    <n v="39"/>
    <x v="0"/>
    <x v="0"/>
  </r>
  <r>
    <n v="27165"/>
    <x v="1"/>
    <x v="1"/>
    <n v="20000"/>
    <n v="0"/>
    <x v="3"/>
    <x v="3"/>
    <s v="No"/>
    <n v="2"/>
    <x v="0"/>
    <x v="0"/>
    <n v="34"/>
    <x v="2"/>
    <x v="0"/>
  </r>
  <r>
    <n v="29424"/>
    <x v="0"/>
    <x v="1"/>
    <n v="10000"/>
    <n v="0"/>
    <x v="3"/>
    <x v="3"/>
    <s v="Yes"/>
    <n v="2"/>
    <x v="0"/>
    <x v="0"/>
    <n v="32"/>
    <x v="2"/>
    <x v="0"/>
  </r>
  <r>
    <n v="15926"/>
    <x v="1"/>
    <x v="0"/>
    <n v="120000"/>
    <n v="3"/>
    <x v="2"/>
    <x v="2"/>
    <s v="Yes"/>
    <n v="4"/>
    <x v="2"/>
    <x v="0"/>
    <n v="50"/>
    <x v="1"/>
    <x v="1"/>
  </r>
  <r>
    <n v="14554"/>
    <x v="0"/>
    <x v="1"/>
    <n v="20000"/>
    <n v="1"/>
    <x v="0"/>
    <x v="1"/>
    <s v="Yes"/>
    <n v="0"/>
    <x v="0"/>
    <x v="0"/>
    <n v="66"/>
    <x v="3"/>
    <x v="0"/>
  </r>
  <r>
    <n v="16468"/>
    <x v="1"/>
    <x v="1"/>
    <n v="30000"/>
    <n v="0"/>
    <x v="1"/>
    <x v="1"/>
    <s v="Yes"/>
    <n v="1"/>
    <x v="1"/>
    <x v="0"/>
    <n v="30"/>
    <x v="2"/>
    <x v="0"/>
  </r>
  <r>
    <n v="19174"/>
    <x v="1"/>
    <x v="0"/>
    <n v="30000"/>
    <n v="0"/>
    <x v="2"/>
    <x v="3"/>
    <s v="No"/>
    <n v="1"/>
    <x v="1"/>
    <x v="0"/>
    <n v="32"/>
    <x v="2"/>
    <x v="1"/>
  </r>
  <r>
    <n v="19183"/>
    <x v="1"/>
    <x v="1"/>
    <n v="10000"/>
    <n v="0"/>
    <x v="3"/>
    <x v="3"/>
    <s v="Yes"/>
    <n v="2"/>
    <x v="3"/>
    <x v="0"/>
    <n v="35"/>
    <x v="0"/>
    <x v="0"/>
  </r>
  <r>
    <n v="13683"/>
    <x v="1"/>
    <x v="0"/>
    <n v="30000"/>
    <n v="0"/>
    <x v="2"/>
    <x v="3"/>
    <s v="No"/>
    <n v="1"/>
    <x v="1"/>
    <x v="0"/>
    <n v="32"/>
    <x v="2"/>
    <x v="0"/>
  </r>
  <r>
    <n v="17848"/>
    <x v="1"/>
    <x v="1"/>
    <n v="30000"/>
    <n v="0"/>
    <x v="1"/>
    <x v="1"/>
    <s v="No"/>
    <n v="1"/>
    <x v="1"/>
    <x v="0"/>
    <n v="31"/>
    <x v="2"/>
    <x v="1"/>
  </r>
  <r>
    <n v="17894"/>
    <x v="0"/>
    <x v="0"/>
    <n v="20000"/>
    <n v="1"/>
    <x v="0"/>
    <x v="1"/>
    <s v="Yes"/>
    <n v="0"/>
    <x v="0"/>
    <x v="0"/>
    <n v="50"/>
    <x v="1"/>
    <x v="1"/>
  </r>
  <r>
    <n v="25651"/>
    <x v="0"/>
    <x v="1"/>
    <n v="40000"/>
    <n v="1"/>
    <x v="0"/>
    <x v="0"/>
    <s v="No"/>
    <n v="0"/>
    <x v="0"/>
    <x v="0"/>
    <n v="43"/>
    <x v="0"/>
    <x v="1"/>
  </r>
  <r>
    <n v="22936"/>
    <x v="1"/>
    <x v="0"/>
    <n v="60000"/>
    <n v="1"/>
    <x v="1"/>
    <x v="0"/>
    <s v="No"/>
    <n v="1"/>
    <x v="0"/>
    <x v="1"/>
    <n v="45"/>
    <x v="1"/>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1"/>
    <x v="0"/>
  </r>
  <r>
    <n v="26354"/>
    <x v="1"/>
    <x v="1"/>
    <n v="40000"/>
    <n v="0"/>
    <x v="4"/>
    <x v="1"/>
    <s v="No"/>
    <n v="0"/>
    <x v="0"/>
    <x v="0"/>
    <n v="38"/>
    <x v="0"/>
    <x v="1"/>
  </r>
  <r>
    <n v="14785"/>
    <x v="1"/>
    <x v="1"/>
    <n v="30000"/>
    <n v="1"/>
    <x v="0"/>
    <x v="1"/>
    <s v="No"/>
    <n v="1"/>
    <x v="3"/>
    <x v="0"/>
    <n v="39"/>
    <x v="0"/>
    <x v="0"/>
  </r>
  <r>
    <n v="17238"/>
    <x v="1"/>
    <x v="1"/>
    <n v="80000"/>
    <n v="0"/>
    <x v="0"/>
    <x v="2"/>
    <s v="Yes"/>
    <n v="3"/>
    <x v="4"/>
    <x v="1"/>
    <n v="32"/>
    <x v="2"/>
    <x v="0"/>
  </r>
  <r>
    <n v="23608"/>
    <x v="0"/>
    <x v="0"/>
    <n v="150000"/>
    <n v="3"/>
    <x v="2"/>
    <x v="2"/>
    <s v="Yes"/>
    <n v="3"/>
    <x v="0"/>
    <x v="0"/>
    <n v="51"/>
    <x v="1"/>
    <x v="1"/>
  </r>
  <r>
    <n v="22538"/>
    <x v="1"/>
    <x v="0"/>
    <n v="10000"/>
    <n v="0"/>
    <x v="3"/>
    <x v="3"/>
    <s v="Yes"/>
    <n v="2"/>
    <x v="3"/>
    <x v="0"/>
    <n v="33"/>
    <x v="2"/>
    <x v="0"/>
  </r>
  <r>
    <n v="12332"/>
    <x v="0"/>
    <x v="1"/>
    <n v="90000"/>
    <n v="4"/>
    <x v="2"/>
    <x v="4"/>
    <s v="Yes"/>
    <n v="3"/>
    <x v="2"/>
    <x v="0"/>
    <n v="58"/>
    <x v="1"/>
    <x v="1"/>
  </r>
  <r>
    <n v="17230"/>
    <x v="0"/>
    <x v="1"/>
    <n v="80000"/>
    <n v="0"/>
    <x v="0"/>
    <x v="2"/>
    <s v="Yes"/>
    <n v="3"/>
    <x v="4"/>
    <x v="1"/>
    <n v="30"/>
    <x v="2"/>
    <x v="0"/>
  </r>
  <r>
    <n v="13082"/>
    <x v="1"/>
    <x v="1"/>
    <n v="130000"/>
    <n v="0"/>
    <x v="4"/>
    <x v="4"/>
    <s v="Yes"/>
    <n v="0"/>
    <x v="1"/>
    <x v="1"/>
    <n v="48"/>
    <x v="1"/>
    <x v="1"/>
  </r>
  <r>
    <n v="22518"/>
    <x v="1"/>
    <x v="0"/>
    <n v="30000"/>
    <n v="3"/>
    <x v="1"/>
    <x v="1"/>
    <s v="No"/>
    <n v="2"/>
    <x v="0"/>
    <x v="0"/>
    <n v="27"/>
    <x v="2"/>
    <x v="1"/>
  </r>
  <r>
    <n v="13687"/>
    <x v="0"/>
    <x v="1"/>
    <n v="40000"/>
    <n v="1"/>
    <x v="0"/>
    <x v="0"/>
    <s v="Yes"/>
    <n v="1"/>
    <x v="0"/>
    <x v="0"/>
    <n v="33"/>
    <x v="2"/>
    <x v="1"/>
  </r>
  <r>
    <n v="23571"/>
    <x v="0"/>
    <x v="0"/>
    <n v="40000"/>
    <n v="2"/>
    <x v="0"/>
    <x v="4"/>
    <s v="Yes"/>
    <n v="2"/>
    <x v="0"/>
    <x v="1"/>
    <n v="66"/>
    <x v="3"/>
    <x v="1"/>
  </r>
  <r>
    <n v="19305"/>
    <x v="1"/>
    <x v="0"/>
    <n v="10000"/>
    <n v="2"/>
    <x v="2"/>
    <x v="3"/>
    <s v="Yes"/>
    <n v="1"/>
    <x v="0"/>
    <x v="0"/>
    <n v="38"/>
    <x v="0"/>
    <x v="1"/>
  </r>
  <r>
    <n v="22636"/>
    <x v="1"/>
    <x v="0"/>
    <n v="40000"/>
    <n v="0"/>
    <x v="0"/>
    <x v="1"/>
    <s v="No"/>
    <n v="0"/>
    <x v="0"/>
    <x v="0"/>
    <n v="38"/>
    <x v="0"/>
    <x v="1"/>
  </r>
  <r>
    <n v="17310"/>
    <x v="0"/>
    <x v="1"/>
    <n v="60000"/>
    <n v="1"/>
    <x v="1"/>
    <x v="0"/>
    <s v="Yes"/>
    <n v="1"/>
    <x v="0"/>
    <x v="1"/>
    <n v="45"/>
    <x v="1"/>
    <x v="1"/>
  </r>
  <r>
    <n v="12133"/>
    <x v="0"/>
    <x v="0"/>
    <n v="130000"/>
    <n v="3"/>
    <x v="1"/>
    <x v="2"/>
    <s v="Yes"/>
    <n v="3"/>
    <x v="2"/>
    <x v="0"/>
    <n v="50"/>
    <x v="1"/>
    <x v="1"/>
  </r>
  <r>
    <n v="25918"/>
    <x v="1"/>
    <x v="0"/>
    <n v="30000"/>
    <n v="2"/>
    <x v="1"/>
    <x v="1"/>
    <s v="No"/>
    <n v="2"/>
    <x v="2"/>
    <x v="1"/>
    <n v="60"/>
    <x v="1"/>
    <x v="1"/>
  </r>
  <r>
    <n v="25752"/>
    <x v="1"/>
    <x v="0"/>
    <n v="20000"/>
    <n v="2"/>
    <x v="1"/>
    <x v="3"/>
    <s v="No"/>
    <n v="1"/>
    <x v="0"/>
    <x v="0"/>
    <n v="53"/>
    <x v="1"/>
    <x v="1"/>
  </r>
  <r>
    <n v="17324"/>
    <x v="0"/>
    <x v="0"/>
    <n v="100000"/>
    <n v="4"/>
    <x v="0"/>
    <x v="2"/>
    <s v="Yes"/>
    <n v="1"/>
    <x v="4"/>
    <x v="1"/>
    <n v="46"/>
    <x v="1"/>
    <x v="0"/>
  </r>
  <r>
    <n v="22918"/>
    <x v="1"/>
    <x v="1"/>
    <n v="80000"/>
    <n v="5"/>
    <x v="4"/>
    <x v="4"/>
    <s v="Yes"/>
    <n v="3"/>
    <x v="0"/>
    <x v="1"/>
    <n v="50"/>
    <x v="1"/>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3"/>
    <x v="0"/>
  </r>
  <r>
    <n v="20977"/>
    <x v="0"/>
    <x v="1"/>
    <n v="20000"/>
    <n v="1"/>
    <x v="0"/>
    <x v="1"/>
    <s v="Yes"/>
    <n v="0"/>
    <x v="0"/>
    <x v="0"/>
    <n v="64"/>
    <x v="1"/>
    <x v="1"/>
  </r>
  <r>
    <n v="18140"/>
    <x v="0"/>
    <x v="1"/>
    <n v="130000"/>
    <n v="3"/>
    <x v="1"/>
    <x v="2"/>
    <s v="No"/>
    <n v="3"/>
    <x v="2"/>
    <x v="0"/>
    <n v="51"/>
    <x v="1"/>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3"/>
    <x v="0"/>
  </r>
  <r>
    <n v="13586"/>
    <x v="0"/>
    <x v="1"/>
    <n v="80000"/>
    <n v="4"/>
    <x v="1"/>
    <x v="2"/>
    <s v="Yes"/>
    <n v="2"/>
    <x v="4"/>
    <x v="0"/>
    <n v="53"/>
    <x v="1"/>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2"/>
    <x v="1"/>
  </r>
  <r>
    <n v="13690"/>
    <x v="1"/>
    <x v="0"/>
    <n v="20000"/>
    <n v="0"/>
    <x v="3"/>
    <x v="3"/>
    <s v="No"/>
    <n v="2"/>
    <x v="3"/>
    <x v="0"/>
    <n v="34"/>
    <x v="2"/>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1"/>
    <x v="0"/>
  </r>
  <r>
    <n v="23962"/>
    <x v="0"/>
    <x v="0"/>
    <n v="10000"/>
    <n v="0"/>
    <x v="3"/>
    <x v="3"/>
    <s v="Yes"/>
    <n v="2"/>
    <x v="3"/>
    <x v="0"/>
    <n v="32"/>
    <x v="2"/>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1"/>
    <x v="1"/>
  </r>
  <r>
    <n v="25792"/>
    <x v="1"/>
    <x v="0"/>
    <n v="110000"/>
    <n v="3"/>
    <x v="0"/>
    <x v="4"/>
    <s v="Yes"/>
    <n v="4"/>
    <x v="4"/>
    <x v="0"/>
    <n v="53"/>
    <x v="1"/>
    <x v="0"/>
  </r>
  <r>
    <n v="11555"/>
    <x v="0"/>
    <x v="0"/>
    <n v="40000"/>
    <n v="1"/>
    <x v="0"/>
    <x v="1"/>
    <s v="Yes"/>
    <n v="0"/>
    <x v="0"/>
    <x v="0"/>
    <n v="80"/>
    <x v="3"/>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2"/>
    <x v="0"/>
  </r>
  <r>
    <n v="22821"/>
    <x v="0"/>
    <x v="0"/>
    <n v="130000"/>
    <n v="3"/>
    <x v="1"/>
    <x v="2"/>
    <s v="Yes"/>
    <n v="4"/>
    <x v="0"/>
    <x v="0"/>
    <n v="52"/>
    <x v="1"/>
    <x v="0"/>
  </r>
  <r>
    <n v="20171"/>
    <x v="0"/>
    <x v="0"/>
    <n v="20000"/>
    <n v="2"/>
    <x v="1"/>
    <x v="3"/>
    <s v="Yes"/>
    <n v="1"/>
    <x v="0"/>
    <x v="0"/>
    <n v="46"/>
    <x v="1"/>
    <x v="1"/>
  </r>
  <r>
    <n v="11116"/>
    <x v="0"/>
    <x v="1"/>
    <n v="70000"/>
    <n v="5"/>
    <x v="1"/>
    <x v="0"/>
    <s v="Yes"/>
    <n v="2"/>
    <x v="2"/>
    <x v="1"/>
    <n v="43"/>
    <x v="0"/>
    <x v="0"/>
  </r>
  <r>
    <n v="20053"/>
    <x v="1"/>
    <x v="1"/>
    <n v="40000"/>
    <n v="2"/>
    <x v="1"/>
    <x v="1"/>
    <s v="Yes"/>
    <n v="0"/>
    <x v="0"/>
    <x v="0"/>
    <n v="34"/>
    <x v="2"/>
    <x v="0"/>
  </r>
  <r>
    <n v="25266"/>
    <x v="1"/>
    <x v="0"/>
    <n v="30000"/>
    <n v="2"/>
    <x v="1"/>
    <x v="1"/>
    <s v="No"/>
    <n v="2"/>
    <x v="2"/>
    <x v="1"/>
    <n v="67"/>
    <x v="3"/>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3"/>
    <x v="0"/>
  </r>
  <r>
    <n v="11576"/>
    <x v="0"/>
    <x v="1"/>
    <n v="30000"/>
    <n v="1"/>
    <x v="0"/>
    <x v="0"/>
    <s v="Yes"/>
    <n v="2"/>
    <x v="0"/>
    <x v="0"/>
    <n v="41"/>
    <x v="0"/>
    <x v="1"/>
  </r>
  <r>
    <n v="19255"/>
    <x v="1"/>
    <x v="1"/>
    <n v="10000"/>
    <n v="2"/>
    <x v="1"/>
    <x v="3"/>
    <s v="Yes"/>
    <n v="1"/>
    <x v="0"/>
    <x v="0"/>
    <n v="51"/>
    <x v="1"/>
    <x v="1"/>
  </r>
  <r>
    <n v="18153"/>
    <x v="0"/>
    <x v="0"/>
    <n v="100000"/>
    <n v="2"/>
    <x v="0"/>
    <x v="4"/>
    <s v="Yes"/>
    <n v="4"/>
    <x v="4"/>
    <x v="0"/>
    <n v="59"/>
    <x v="1"/>
    <x v="0"/>
  </r>
  <r>
    <n v="14547"/>
    <x v="0"/>
    <x v="1"/>
    <n v="10000"/>
    <n v="2"/>
    <x v="1"/>
    <x v="3"/>
    <s v="Yes"/>
    <n v="0"/>
    <x v="3"/>
    <x v="0"/>
    <n v="51"/>
    <x v="1"/>
    <x v="0"/>
  </r>
  <r>
    <n v="24901"/>
    <x v="1"/>
    <x v="1"/>
    <n v="110000"/>
    <n v="0"/>
    <x v="1"/>
    <x v="4"/>
    <s v="No"/>
    <n v="3"/>
    <x v="4"/>
    <x v="1"/>
    <n v="32"/>
    <x v="2"/>
    <x v="1"/>
  </r>
  <r>
    <n v="27169"/>
    <x v="1"/>
    <x v="1"/>
    <n v="30000"/>
    <n v="0"/>
    <x v="2"/>
    <x v="3"/>
    <s v="Yes"/>
    <n v="1"/>
    <x v="1"/>
    <x v="0"/>
    <n v="34"/>
    <x v="2"/>
    <x v="1"/>
  </r>
  <r>
    <n v="14805"/>
    <x v="1"/>
    <x v="0"/>
    <n v="10000"/>
    <n v="3"/>
    <x v="3"/>
    <x v="3"/>
    <s v="Yes"/>
    <n v="2"/>
    <x v="0"/>
    <x v="0"/>
    <n v="43"/>
    <x v="0"/>
    <x v="0"/>
  </r>
  <r>
    <n v="15822"/>
    <x v="0"/>
    <x v="1"/>
    <n v="40000"/>
    <n v="2"/>
    <x v="0"/>
    <x v="4"/>
    <s v="Yes"/>
    <n v="2"/>
    <x v="0"/>
    <x v="1"/>
    <n v="67"/>
    <x v="3"/>
    <x v="0"/>
  </r>
  <r>
    <n v="19389"/>
    <x v="1"/>
    <x v="1"/>
    <n v="30000"/>
    <n v="0"/>
    <x v="1"/>
    <x v="1"/>
    <s v="No"/>
    <n v="1"/>
    <x v="1"/>
    <x v="0"/>
    <n v="28"/>
    <x v="2"/>
    <x v="0"/>
  </r>
  <r>
    <n v="17048"/>
    <x v="1"/>
    <x v="0"/>
    <n v="90000"/>
    <n v="1"/>
    <x v="4"/>
    <x v="4"/>
    <s v="Yes"/>
    <n v="0"/>
    <x v="0"/>
    <x v="1"/>
    <n v="36"/>
    <x v="0"/>
    <x v="1"/>
  </r>
  <r>
    <n v="22204"/>
    <x v="0"/>
    <x v="1"/>
    <n v="110000"/>
    <n v="4"/>
    <x v="0"/>
    <x v="4"/>
    <s v="Yes"/>
    <n v="3"/>
    <x v="1"/>
    <x v="1"/>
    <n v="48"/>
    <x v="1"/>
    <x v="0"/>
  </r>
  <r>
    <n v="12718"/>
    <x v="1"/>
    <x v="0"/>
    <n v="30000"/>
    <n v="0"/>
    <x v="1"/>
    <x v="1"/>
    <s v="Yes"/>
    <n v="1"/>
    <x v="1"/>
    <x v="0"/>
    <n v="31"/>
    <x v="2"/>
    <x v="0"/>
  </r>
  <r>
    <n v="15019"/>
    <x v="1"/>
    <x v="0"/>
    <n v="30000"/>
    <n v="3"/>
    <x v="2"/>
    <x v="0"/>
    <s v="Yes"/>
    <n v="2"/>
    <x v="2"/>
    <x v="1"/>
    <n v="55"/>
    <x v="1"/>
    <x v="0"/>
  </r>
  <r>
    <n v="28488"/>
    <x v="1"/>
    <x v="1"/>
    <n v="20000"/>
    <n v="0"/>
    <x v="1"/>
    <x v="3"/>
    <s v="Yes"/>
    <n v="0"/>
    <x v="0"/>
    <x v="1"/>
    <n v="28"/>
    <x v="2"/>
    <x v="1"/>
  </r>
  <r>
    <n v="21891"/>
    <x v="0"/>
    <x v="0"/>
    <n v="110000"/>
    <n v="0"/>
    <x v="2"/>
    <x v="4"/>
    <s v="Yes"/>
    <n v="3"/>
    <x v="4"/>
    <x v="1"/>
    <n v="34"/>
    <x v="2"/>
    <x v="1"/>
  </r>
  <r>
    <n v="27814"/>
    <x v="1"/>
    <x v="0"/>
    <n v="30000"/>
    <n v="3"/>
    <x v="1"/>
    <x v="1"/>
    <s v="No"/>
    <n v="1"/>
    <x v="0"/>
    <x v="0"/>
    <n v="26"/>
    <x v="2"/>
    <x v="0"/>
  </r>
  <r>
    <n v="22175"/>
    <x v="0"/>
    <x v="0"/>
    <n v="30000"/>
    <n v="3"/>
    <x v="2"/>
    <x v="0"/>
    <s v="Yes"/>
    <n v="2"/>
    <x v="2"/>
    <x v="1"/>
    <n v="53"/>
    <x v="1"/>
    <x v="1"/>
  </r>
  <r>
    <n v="29447"/>
    <x v="1"/>
    <x v="0"/>
    <n v="10000"/>
    <n v="2"/>
    <x v="0"/>
    <x v="1"/>
    <s v="No"/>
    <n v="1"/>
    <x v="1"/>
    <x v="0"/>
    <n v="68"/>
    <x v="3"/>
    <x v="0"/>
  </r>
  <r>
    <n v="19784"/>
    <x v="0"/>
    <x v="0"/>
    <n v="80000"/>
    <n v="2"/>
    <x v="2"/>
    <x v="0"/>
    <s v="Yes"/>
    <n v="2"/>
    <x v="2"/>
    <x v="1"/>
    <n v="50"/>
    <x v="1"/>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2"/>
    <x v="1"/>
  </r>
  <r>
    <n v="11061"/>
    <x v="0"/>
    <x v="1"/>
    <n v="70000"/>
    <n v="2"/>
    <x v="1"/>
    <x v="0"/>
    <s v="Yes"/>
    <n v="2"/>
    <x v="2"/>
    <x v="1"/>
    <n v="52"/>
    <x v="1"/>
    <x v="1"/>
  </r>
  <r>
    <n v="26651"/>
    <x v="1"/>
    <x v="1"/>
    <n v="80000"/>
    <n v="4"/>
    <x v="4"/>
    <x v="4"/>
    <s v="Yes"/>
    <n v="0"/>
    <x v="0"/>
    <x v="1"/>
    <n v="36"/>
    <x v="0"/>
    <x v="1"/>
  </r>
  <r>
    <n v="21108"/>
    <x v="0"/>
    <x v="0"/>
    <n v="40000"/>
    <n v="1"/>
    <x v="0"/>
    <x v="0"/>
    <s v="Yes"/>
    <n v="1"/>
    <x v="0"/>
    <x v="0"/>
    <n v="43"/>
    <x v="0"/>
    <x v="1"/>
  </r>
  <r>
    <n v="12731"/>
    <x v="1"/>
    <x v="1"/>
    <n v="30000"/>
    <n v="0"/>
    <x v="2"/>
    <x v="3"/>
    <s v="No"/>
    <n v="1"/>
    <x v="3"/>
    <x v="0"/>
    <n v="32"/>
    <x v="2"/>
    <x v="0"/>
  </r>
  <r>
    <n v="25307"/>
    <x v="0"/>
    <x v="0"/>
    <n v="40000"/>
    <n v="1"/>
    <x v="0"/>
    <x v="0"/>
    <s v="Yes"/>
    <n v="1"/>
    <x v="3"/>
    <x v="0"/>
    <n v="32"/>
    <x v="2"/>
    <x v="1"/>
  </r>
  <r>
    <n v="14278"/>
    <x v="0"/>
    <x v="0"/>
    <n v="130000"/>
    <n v="0"/>
    <x v="4"/>
    <x v="4"/>
    <s v="Yes"/>
    <n v="1"/>
    <x v="4"/>
    <x v="1"/>
    <n v="48"/>
    <x v="1"/>
    <x v="0"/>
  </r>
  <r>
    <n v="20711"/>
    <x v="0"/>
    <x v="0"/>
    <n v="40000"/>
    <n v="1"/>
    <x v="0"/>
    <x v="0"/>
    <s v="Yes"/>
    <n v="0"/>
    <x v="3"/>
    <x v="0"/>
    <n v="32"/>
    <x v="2"/>
    <x v="1"/>
  </r>
  <r>
    <n v="11383"/>
    <x v="0"/>
    <x v="0"/>
    <n v="30000"/>
    <n v="3"/>
    <x v="4"/>
    <x v="1"/>
    <s v="Yes"/>
    <n v="0"/>
    <x v="0"/>
    <x v="0"/>
    <n v="46"/>
    <x v="1"/>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3"/>
    <x v="0"/>
  </r>
  <r>
    <n v="26765"/>
    <x v="1"/>
    <x v="0"/>
    <n v="70000"/>
    <n v="5"/>
    <x v="1"/>
    <x v="0"/>
    <s v="Yes"/>
    <n v="2"/>
    <x v="2"/>
    <x v="1"/>
    <n v="45"/>
    <x v="1"/>
    <x v="0"/>
  </r>
  <r>
    <n v="12389"/>
    <x v="1"/>
    <x v="1"/>
    <n v="30000"/>
    <n v="0"/>
    <x v="2"/>
    <x v="3"/>
    <s v="No"/>
    <n v="1"/>
    <x v="1"/>
    <x v="0"/>
    <n v="34"/>
    <x v="2"/>
    <x v="0"/>
  </r>
  <r>
    <n v="13585"/>
    <x v="0"/>
    <x v="0"/>
    <n v="80000"/>
    <n v="4"/>
    <x v="1"/>
    <x v="2"/>
    <s v="No"/>
    <n v="1"/>
    <x v="1"/>
    <x v="0"/>
    <n v="53"/>
    <x v="1"/>
    <x v="1"/>
  </r>
  <r>
    <n v="26385"/>
    <x v="1"/>
    <x v="1"/>
    <n v="120000"/>
    <n v="3"/>
    <x v="2"/>
    <x v="2"/>
    <s v="No"/>
    <n v="4"/>
    <x v="2"/>
    <x v="0"/>
    <n v="50"/>
    <x v="1"/>
    <x v="0"/>
  </r>
  <r>
    <n v="12236"/>
    <x v="0"/>
    <x v="0"/>
    <n v="20000"/>
    <n v="1"/>
    <x v="1"/>
    <x v="3"/>
    <s v="Yes"/>
    <n v="0"/>
    <x v="0"/>
    <x v="0"/>
    <n v="65"/>
    <x v="3"/>
    <x v="0"/>
  </r>
  <r>
    <n v="21560"/>
    <x v="0"/>
    <x v="1"/>
    <n v="120000"/>
    <n v="0"/>
    <x v="3"/>
    <x v="2"/>
    <s v="Yes"/>
    <n v="4"/>
    <x v="4"/>
    <x v="1"/>
    <n v="32"/>
    <x v="2"/>
    <x v="1"/>
  </r>
  <r>
    <n v="21554"/>
    <x v="1"/>
    <x v="0"/>
    <n v="80000"/>
    <n v="0"/>
    <x v="0"/>
    <x v="2"/>
    <s v="No"/>
    <n v="3"/>
    <x v="4"/>
    <x v="1"/>
    <n v="33"/>
    <x v="2"/>
    <x v="0"/>
  </r>
  <r>
    <n v="13662"/>
    <x v="1"/>
    <x v="1"/>
    <n v="20000"/>
    <n v="0"/>
    <x v="3"/>
    <x v="3"/>
    <s v="Yes"/>
    <n v="2"/>
    <x v="3"/>
    <x v="0"/>
    <n v="31"/>
    <x v="2"/>
    <x v="1"/>
  </r>
  <r>
    <n v="13089"/>
    <x v="0"/>
    <x v="0"/>
    <n v="120000"/>
    <n v="1"/>
    <x v="0"/>
    <x v="4"/>
    <s v="Yes"/>
    <n v="2"/>
    <x v="0"/>
    <x v="1"/>
    <n v="46"/>
    <x v="1"/>
    <x v="1"/>
  </r>
  <r>
    <n v="14791"/>
    <x v="0"/>
    <x v="0"/>
    <n v="40000"/>
    <n v="0"/>
    <x v="0"/>
    <x v="1"/>
    <s v="Yes"/>
    <n v="0"/>
    <x v="0"/>
    <x v="0"/>
    <n v="39"/>
    <x v="0"/>
    <x v="1"/>
  </r>
  <r>
    <n v="19331"/>
    <x v="1"/>
    <x v="1"/>
    <n v="20000"/>
    <n v="2"/>
    <x v="2"/>
    <x v="3"/>
    <s v="Yes"/>
    <n v="1"/>
    <x v="0"/>
    <x v="0"/>
    <n v="40"/>
    <x v="0"/>
    <x v="0"/>
  </r>
  <r>
    <n v="17754"/>
    <x v="1"/>
    <x v="0"/>
    <n v="30000"/>
    <n v="3"/>
    <x v="0"/>
    <x v="1"/>
    <s v="Yes"/>
    <n v="0"/>
    <x v="0"/>
    <x v="0"/>
    <n v="46"/>
    <x v="1"/>
    <x v="1"/>
  </r>
  <r>
    <n v="11149"/>
    <x v="0"/>
    <x v="1"/>
    <n v="40000"/>
    <n v="2"/>
    <x v="0"/>
    <x v="4"/>
    <s v="Yes"/>
    <n v="2"/>
    <x v="0"/>
    <x v="1"/>
    <n v="65"/>
    <x v="3"/>
    <x v="0"/>
  </r>
  <r>
    <n v="16549"/>
    <x v="1"/>
    <x v="0"/>
    <n v="30000"/>
    <n v="3"/>
    <x v="0"/>
    <x v="1"/>
    <s v="Yes"/>
    <n v="0"/>
    <x v="0"/>
    <x v="0"/>
    <n v="47"/>
    <x v="1"/>
    <x v="1"/>
  </r>
  <r>
    <n v="24305"/>
    <x v="1"/>
    <x v="1"/>
    <n v="100000"/>
    <n v="1"/>
    <x v="0"/>
    <x v="4"/>
    <s v="No"/>
    <n v="3"/>
    <x v="0"/>
    <x v="1"/>
    <n v="46"/>
    <x v="1"/>
    <x v="1"/>
  </r>
  <r>
    <n v="18253"/>
    <x v="0"/>
    <x v="0"/>
    <n v="80000"/>
    <n v="5"/>
    <x v="4"/>
    <x v="4"/>
    <s v="Yes"/>
    <n v="3"/>
    <x v="0"/>
    <x v="1"/>
    <n v="40"/>
    <x v="0"/>
    <x v="0"/>
  </r>
  <r>
    <n v="20147"/>
    <x v="0"/>
    <x v="0"/>
    <n v="30000"/>
    <n v="1"/>
    <x v="0"/>
    <x v="1"/>
    <s v="Yes"/>
    <n v="0"/>
    <x v="0"/>
    <x v="0"/>
    <n v="65"/>
    <x v="3"/>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1"/>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1"/>
    <x v="1"/>
  </r>
  <r>
    <n v="22610"/>
    <x v="0"/>
    <x v="1"/>
    <n v="30000"/>
    <n v="0"/>
    <x v="0"/>
    <x v="1"/>
    <s v="Yes"/>
    <n v="0"/>
    <x v="0"/>
    <x v="0"/>
    <n v="35"/>
    <x v="0"/>
    <x v="1"/>
  </r>
  <r>
    <n v="26984"/>
    <x v="0"/>
    <x v="1"/>
    <n v="40000"/>
    <n v="1"/>
    <x v="0"/>
    <x v="0"/>
    <s v="Yes"/>
    <n v="1"/>
    <x v="0"/>
    <x v="0"/>
    <n v="32"/>
    <x v="2"/>
    <x v="1"/>
  </r>
  <r>
    <n v="18294"/>
    <x v="0"/>
    <x v="0"/>
    <n v="90000"/>
    <n v="1"/>
    <x v="0"/>
    <x v="2"/>
    <s v="Yes"/>
    <n v="1"/>
    <x v="2"/>
    <x v="1"/>
    <n v="46"/>
    <x v="1"/>
    <x v="0"/>
  </r>
  <r>
    <n v="28564"/>
    <x v="1"/>
    <x v="0"/>
    <n v="40000"/>
    <n v="2"/>
    <x v="1"/>
    <x v="1"/>
    <s v="Yes"/>
    <n v="0"/>
    <x v="3"/>
    <x v="0"/>
    <n v="33"/>
    <x v="2"/>
    <x v="1"/>
  </r>
  <r>
    <n v="28521"/>
    <x v="1"/>
    <x v="1"/>
    <n v="40000"/>
    <n v="0"/>
    <x v="4"/>
    <x v="1"/>
    <s v="No"/>
    <n v="0"/>
    <x v="0"/>
    <x v="0"/>
    <n v="36"/>
    <x v="0"/>
    <x v="1"/>
  </r>
  <r>
    <n v="15450"/>
    <x v="0"/>
    <x v="1"/>
    <n v="10000"/>
    <n v="1"/>
    <x v="4"/>
    <x v="1"/>
    <s v="Yes"/>
    <n v="0"/>
    <x v="0"/>
    <x v="0"/>
    <n v="70"/>
    <x v="3"/>
    <x v="0"/>
  </r>
  <r>
    <n v="25681"/>
    <x v="1"/>
    <x v="0"/>
    <n v="30000"/>
    <n v="0"/>
    <x v="1"/>
    <x v="1"/>
    <s v="No"/>
    <n v="1"/>
    <x v="1"/>
    <x v="0"/>
    <n v="31"/>
    <x v="2"/>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2"/>
    <x v="0"/>
  </r>
  <r>
    <n v="27835"/>
    <x v="0"/>
    <x v="1"/>
    <n v="20000"/>
    <n v="0"/>
    <x v="3"/>
    <x v="3"/>
    <s v="Yes"/>
    <n v="2"/>
    <x v="0"/>
    <x v="0"/>
    <n v="32"/>
    <x v="2"/>
    <x v="0"/>
  </r>
  <r>
    <n v="11738"/>
    <x v="0"/>
    <x v="1"/>
    <n v="60000"/>
    <n v="4"/>
    <x v="0"/>
    <x v="2"/>
    <s v="Yes"/>
    <n v="0"/>
    <x v="1"/>
    <x v="2"/>
    <n v="46"/>
    <x v="1"/>
    <x v="0"/>
  </r>
  <r>
    <n v="25065"/>
    <x v="0"/>
    <x v="1"/>
    <n v="70000"/>
    <n v="2"/>
    <x v="3"/>
    <x v="0"/>
    <s v="Yes"/>
    <n v="2"/>
    <x v="2"/>
    <x v="2"/>
    <n v="48"/>
    <x v="1"/>
    <x v="0"/>
  </r>
  <r>
    <n v="26238"/>
    <x v="1"/>
    <x v="0"/>
    <n v="40000"/>
    <n v="3"/>
    <x v="1"/>
    <x v="1"/>
    <s v="Yes"/>
    <n v="1"/>
    <x v="3"/>
    <x v="2"/>
    <n v="31"/>
    <x v="2"/>
    <x v="1"/>
  </r>
  <r>
    <n v="23707"/>
    <x v="1"/>
    <x v="1"/>
    <n v="70000"/>
    <n v="5"/>
    <x v="0"/>
    <x v="4"/>
    <s v="Yes"/>
    <n v="3"/>
    <x v="4"/>
    <x v="2"/>
    <n v="60"/>
    <x v="1"/>
    <x v="1"/>
  </r>
  <r>
    <n v="27650"/>
    <x v="0"/>
    <x v="1"/>
    <n v="70000"/>
    <n v="4"/>
    <x v="2"/>
    <x v="2"/>
    <s v="Yes"/>
    <n v="0"/>
    <x v="2"/>
    <x v="2"/>
    <n v="51"/>
    <x v="1"/>
    <x v="0"/>
  </r>
  <r>
    <n v="24981"/>
    <x v="0"/>
    <x v="1"/>
    <n v="60000"/>
    <n v="2"/>
    <x v="1"/>
    <x v="2"/>
    <s v="Yes"/>
    <n v="2"/>
    <x v="4"/>
    <x v="2"/>
    <n v="56"/>
    <x v="1"/>
    <x v="0"/>
  </r>
  <r>
    <n v="20678"/>
    <x v="1"/>
    <x v="0"/>
    <n v="60000"/>
    <n v="3"/>
    <x v="0"/>
    <x v="0"/>
    <s v="Yes"/>
    <n v="1"/>
    <x v="1"/>
    <x v="2"/>
    <n v="40"/>
    <x v="0"/>
    <x v="1"/>
  </r>
  <r>
    <n v="15302"/>
    <x v="1"/>
    <x v="0"/>
    <n v="70000"/>
    <n v="1"/>
    <x v="4"/>
    <x v="2"/>
    <s v="Yes"/>
    <n v="0"/>
    <x v="1"/>
    <x v="2"/>
    <n v="34"/>
    <x v="2"/>
    <x v="1"/>
  </r>
  <r>
    <n v="26012"/>
    <x v="0"/>
    <x v="1"/>
    <n v="80000"/>
    <n v="1"/>
    <x v="1"/>
    <x v="0"/>
    <s v="Yes"/>
    <n v="1"/>
    <x v="1"/>
    <x v="2"/>
    <n v="48"/>
    <x v="1"/>
    <x v="1"/>
  </r>
  <r>
    <n v="26575"/>
    <x v="1"/>
    <x v="0"/>
    <n v="40000"/>
    <n v="0"/>
    <x v="2"/>
    <x v="0"/>
    <s v="No"/>
    <n v="2"/>
    <x v="3"/>
    <x v="2"/>
    <n v="31"/>
    <x v="2"/>
    <x v="1"/>
  </r>
  <r>
    <n v="15559"/>
    <x v="0"/>
    <x v="1"/>
    <n v="60000"/>
    <n v="5"/>
    <x v="0"/>
    <x v="2"/>
    <s v="Yes"/>
    <n v="1"/>
    <x v="1"/>
    <x v="2"/>
    <n v="47"/>
    <x v="1"/>
    <x v="0"/>
  </r>
  <r>
    <n v="19235"/>
    <x v="0"/>
    <x v="0"/>
    <n v="50000"/>
    <n v="0"/>
    <x v="4"/>
    <x v="0"/>
    <s v="Yes"/>
    <n v="0"/>
    <x v="0"/>
    <x v="2"/>
    <n v="34"/>
    <x v="2"/>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1"/>
    <x v="1"/>
  </r>
  <r>
    <n v="16337"/>
    <x v="0"/>
    <x v="1"/>
    <n v="60000"/>
    <n v="0"/>
    <x v="1"/>
    <x v="0"/>
    <s v="No"/>
    <n v="2"/>
    <x v="3"/>
    <x v="2"/>
    <n v="29"/>
    <x v="2"/>
    <x v="0"/>
  </r>
  <r>
    <n v="24357"/>
    <x v="0"/>
    <x v="1"/>
    <n v="80000"/>
    <n v="3"/>
    <x v="0"/>
    <x v="2"/>
    <s v="Yes"/>
    <n v="1"/>
    <x v="1"/>
    <x v="2"/>
    <n v="48"/>
    <x v="1"/>
    <x v="1"/>
  </r>
  <r>
    <n v="18613"/>
    <x v="1"/>
    <x v="1"/>
    <n v="70000"/>
    <n v="0"/>
    <x v="0"/>
    <x v="2"/>
    <s v="No"/>
    <n v="1"/>
    <x v="1"/>
    <x v="2"/>
    <n v="37"/>
    <x v="0"/>
    <x v="1"/>
  </r>
  <r>
    <n v="12207"/>
    <x v="1"/>
    <x v="1"/>
    <n v="80000"/>
    <n v="4"/>
    <x v="0"/>
    <x v="4"/>
    <s v="Yes"/>
    <n v="0"/>
    <x v="2"/>
    <x v="2"/>
    <n v="66"/>
    <x v="3"/>
    <x v="1"/>
  </r>
  <r>
    <n v="18052"/>
    <x v="0"/>
    <x v="0"/>
    <n v="60000"/>
    <n v="1"/>
    <x v="1"/>
    <x v="0"/>
    <s v="Yes"/>
    <n v="1"/>
    <x v="0"/>
    <x v="2"/>
    <n v="45"/>
    <x v="1"/>
    <x v="1"/>
  </r>
  <r>
    <n v="13353"/>
    <x v="1"/>
    <x v="0"/>
    <n v="60000"/>
    <n v="4"/>
    <x v="4"/>
    <x v="4"/>
    <s v="Yes"/>
    <n v="2"/>
    <x v="4"/>
    <x v="2"/>
    <n v="61"/>
    <x v="1"/>
    <x v="1"/>
  </r>
  <r>
    <n v="19399"/>
    <x v="1"/>
    <x v="1"/>
    <n v="40000"/>
    <n v="0"/>
    <x v="0"/>
    <x v="2"/>
    <s v="No"/>
    <n v="1"/>
    <x v="1"/>
    <x v="2"/>
    <n v="45"/>
    <x v="1"/>
    <x v="0"/>
  </r>
  <r>
    <n v="16154"/>
    <x v="0"/>
    <x v="0"/>
    <n v="70000"/>
    <n v="5"/>
    <x v="0"/>
    <x v="2"/>
    <s v="Yes"/>
    <n v="2"/>
    <x v="1"/>
    <x v="2"/>
    <n v="47"/>
    <x v="1"/>
    <x v="0"/>
  </r>
  <r>
    <n v="22219"/>
    <x v="0"/>
    <x v="0"/>
    <n v="60000"/>
    <n v="2"/>
    <x v="2"/>
    <x v="2"/>
    <s v="Yes"/>
    <n v="2"/>
    <x v="2"/>
    <x v="2"/>
    <n v="49"/>
    <x v="1"/>
    <x v="0"/>
  </r>
  <r>
    <n v="17269"/>
    <x v="1"/>
    <x v="1"/>
    <n v="60000"/>
    <n v="3"/>
    <x v="0"/>
    <x v="2"/>
    <s v="No"/>
    <n v="0"/>
    <x v="0"/>
    <x v="2"/>
    <n v="47"/>
    <x v="1"/>
    <x v="1"/>
  </r>
  <r>
    <n v="23586"/>
    <x v="0"/>
    <x v="0"/>
    <n v="80000"/>
    <n v="0"/>
    <x v="0"/>
    <x v="4"/>
    <s v="Yes"/>
    <n v="1"/>
    <x v="3"/>
    <x v="2"/>
    <n v="34"/>
    <x v="2"/>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1"/>
    <x v="1"/>
  </r>
  <r>
    <n v="13283"/>
    <x v="0"/>
    <x v="1"/>
    <n v="80000"/>
    <n v="3"/>
    <x v="1"/>
    <x v="2"/>
    <s v="No"/>
    <n v="2"/>
    <x v="0"/>
    <x v="2"/>
    <n v="49"/>
    <x v="1"/>
    <x v="1"/>
  </r>
  <r>
    <n v="17471"/>
    <x v="1"/>
    <x v="0"/>
    <n v="80000"/>
    <n v="4"/>
    <x v="4"/>
    <x v="4"/>
    <s v="Yes"/>
    <n v="2"/>
    <x v="2"/>
    <x v="2"/>
    <n v="67"/>
    <x v="3"/>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3"/>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1"/>
    <x v="1"/>
  </r>
  <r>
    <n v="11262"/>
    <x v="0"/>
    <x v="0"/>
    <n v="80000"/>
    <n v="4"/>
    <x v="0"/>
    <x v="4"/>
    <s v="Yes"/>
    <n v="0"/>
    <x v="0"/>
    <x v="2"/>
    <n v="42"/>
    <x v="0"/>
    <x v="0"/>
  </r>
  <r>
    <n v="22294"/>
    <x v="1"/>
    <x v="0"/>
    <n v="70000"/>
    <n v="0"/>
    <x v="0"/>
    <x v="2"/>
    <s v="No"/>
    <n v="1"/>
    <x v="1"/>
    <x v="2"/>
    <n v="37"/>
    <x v="0"/>
    <x v="1"/>
  </r>
  <r>
    <n v="12195"/>
    <x v="1"/>
    <x v="0"/>
    <n v="70000"/>
    <n v="3"/>
    <x v="4"/>
    <x v="4"/>
    <s v="Yes"/>
    <n v="2"/>
    <x v="3"/>
    <x v="2"/>
    <n v="52"/>
    <x v="1"/>
    <x v="0"/>
  </r>
  <r>
    <n v="25375"/>
    <x v="0"/>
    <x v="1"/>
    <n v="50000"/>
    <n v="1"/>
    <x v="4"/>
    <x v="0"/>
    <s v="Yes"/>
    <n v="0"/>
    <x v="3"/>
    <x v="2"/>
    <n v="34"/>
    <x v="2"/>
    <x v="0"/>
  </r>
  <r>
    <n v="11143"/>
    <x v="0"/>
    <x v="1"/>
    <n v="40000"/>
    <n v="0"/>
    <x v="2"/>
    <x v="0"/>
    <s v="Yes"/>
    <n v="2"/>
    <x v="2"/>
    <x v="2"/>
    <n v="29"/>
    <x v="2"/>
    <x v="0"/>
  </r>
  <r>
    <n v="25898"/>
    <x v="0"/>
    <x v="0"/>
    <n v="70000"/>
    <n v="2"/>
    <x v="2"/>
    <x v="2"/>
    <s v="Yes"/>
    <n v="2"/>
    <x v="1"/>
    <x v="2"/>
    <n v="53"/>
    <x v="1"/>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1"/>
    <x v="0"/>
  </r>
  <r>
    <n v="13453"/>
    <x v="0"/>
    <x v="0"/>
    <n v="130000"/>
    <n v="3"/>
    <x v="0"/>
    <x v="4"/>
    <s v="Yes"/>
    <n v="3"/>
    <x v="0"/>
    <x v="2"/>
    <n v="45"/>
    <x v="1"/>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3"/>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2"/>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1"/>
    <x v="0"/>
  </r>
  <r>
    <n v="18560"/>
    <x v="0"/>
    <x v="0"/>
    <n v="70000"/>
    <n v="2"/>
    <x v="4"/>
    <x v="2"/>
    <s v="Yes"/>
    <n v="0"/>
    <x v="1"/>
    <x v="2"/>
    <n v="34"/>
    <x v="2"/>
    <x v="1"/>
  </r>
  <r>
    <n v="25006"/>
    <x v="1"/>
    <x v="0"/>
    <n v="30000"/>
    <n v="0"/>
    <x v="1"/>
    <x v="0"/>
    <s v="Yes"/>
    <n v="1"/>
    <x v="2"/>
    <x v="2"/>
    <n v="28"/>
    <x v="2"/>
    <x v="0"/>
  </r>
  <r>
    <n v="17369"/>
    <x v="1"/>
    <x v="1"/>
    <n v="30000"/>
    <n v="0"/>
    <x v="1"/>
    <x v="0"/>
    <s v="Yes"/>
    <n v="1"/>
    <x v="2"/>
    <x v="2"/>
    <n v="27"/>
    <x v="2"/>
    <x v="0"/>
  </r>
  <r>
    <n v="14495"/>
    <x v="0"/>
    <x v="1"/>
    <n v="40000"/>
    <n v="3"/>
    <x v="1"/>
    <x v="2"/>
    <s v="No"/>
    <n v="2"/>
    <x v="2"/>
    <x v="2"/>
    <n v="54"/>
    <x v="1"/>
    <x v="1"/>
  </r>
  <r>
    <n v="18847"/>
    <x v="0"/>
    <x v="0"/>
    <n v="60000"/>
    <n v="2"/>
    <x v="4"/>
    <x v="4"/>
    <s v="Yes"/>
    <n v="2"/>
    <x v="2"/>
    <x v="2"/>
    <n v="70"/>
    <x v="3"/>
    <x v="0"/>
  </r>
  <r>
    <n v="14754"/>
    <x v="0"/>
    <x v="1"/>
    <n v="40000"/>
    <n v="1"/>
    <x v="1"/>
    <x v="1"/>
    <s v="Yes"/>
    <n v="1"/>
    <x v="3"/>
    <x v="2"/>
    <n v="48"/>
    <x v="1"/>
    <x v="1"/>
  </r>
  <r>
    <n v="23378"/>
    <x v="0"/>
    <x v="1"/>
    <n v="70000"/>
    <n v="1"/>
    <x v="1"/>
    <x v="0"/>
    <s v="Yes"/>
    <n v="1"/>
    <x v="1"/>
    <x v="2"/>
    <n v="44"/>
    <x v="0"/>
    <x v="1"/>
  </r>
  <r>
    <n v="26452"/>
    <x v="1"/>
    <x v="1"/>
    <n v="50000"/>
    <n v="3"/>
    <x v="4"/>
    <x v="4"/>
    <s v="Yes"/>
    <n v="2"/>
    <x v="4"/>
    <x v="2"/>
    <n v="69"/>
    <x v="3"/>
    <x v="0"/>
  </r>
  <r>
    <n v="20370"/>
    <x v="0"/>
    <x v="1"/>
    <n v="70000"/>
    <n v="3"/>
    <x v="3"/>
    <x v="0"/>
    <s v="Yes"/>
    <n v="2"/>
    <x v="2"/>
    <x v="2"/>
    <n v="52"/>
    <x v="1"/>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2"/>
    <x v="1"/>
  </r>
  <r>
    <n v="13388"/>
    <x v="1"/>
    <x v="1"/>
    <n v="60000"/>
    <n v="2"/>
    <x v="1"/>
    <x v="2"/>
    <s v="Yes"/>
    <n v="1"/>
    <x v="4"/>
    <x v="2"/>
    <n v="56"/>
    <x v="1"/>
    <x v="0"/>
  </r>
  <r>
    <n v="18752"/>
    <x v="1"/>
    <x v="0"/>
    <n v="40000"/>
    <n v="0"/>
    <x v="2"/>
    <x v="0"/>
    <s v="Yes"/>
    <n v="1"/>
    <x v="2"/>
    <x v="2"/>
    <n v="31"/>
    <x v="2"/>
    <x v="0"/>
  </r>
  <r>
    <n v="16917"/>
    <x v="0"/>
    <x v="1"/>
    <n v="120000"/>
    <n v="1"/>
    <x v="0"/>
    <x v="4"/>
    <s v="Yes"/>
    <n v="4"/>
    <x v="0"/>
    <x v="2"/>
    <n v="38"/>
    <x v="0"/>
    <x v="0"/>
  </r>
  <r>
    <n v="15313"/>
    <x v="0"/>
    <x v="1"/>
    <n v="60000"/>
    <n v="4"/>
    <x v="0"/>
    <x v="4"/>
    <s v="Yes"/>
    <n v="2"/>
    <x v="1"/>
    <x v="2"/>
    <n v="59"/>
    <x v="1"/>
    <x v="0"/>
  </r>
  <r>
    <n v="25329"/>
    <x v="1"/>
    <x v="0"/>
    <n v="40000"/>
    <n v="3"/>
    <x v="1"/>
    <x v="1"/>
    <s v="No"/>
    <n v="2"/>
    <x v="0"/>
    <x v="2"/>
    <n v="32"/>
    <x v="2"/>
    <x v="0"/>
  </r>
  <r>
    <n v="20380"/>
    <x v="0"/>
    <x v="0"/>
    <n v="60000"/>
    <n v="3"/>
    <x v="4"/>
    <x v="4"/>
    <s v="Yes"/>
    <n v="2"/>
    <x v="4"/>
    <x v="2"/>
    <n v="69"/>
    <x v="3"/>
    <x v="0"/>
  </r>
  <r>
    <n v="23089"/>
    <x v="0"/>
    <x v="1"/>
    <n v="40000"/>
    <n v="0"/>
    <x v="1"/>
    <x v="0"/>
    <s v="Yes"/>
    <n v="1"/>
    <x v="2"/>
    <x v="2"/>
    <n v="28"/>
    <x v="2"/>
    <x v="0"/>
  </r>
  <r>
    <n v="13749"/>
    <x v="0"/>
    <x v="1"/>
    <n v="80000"/>
    <n v="4"/>
    <x v="4"/>
    <x v="0"/>
    <s v="Yes"/>
    <n v="0"/>
    <x v="3"/>
    <x v="2"/>
    <n v="47"/>
    <x v="1"/>
    <x v="0"/>
  </r>
  <r>
    <n v="24943"/>
    <x v="0"/>
    <x v="1"/>
    <n v="60000"/>
    <n v="3"/>
    <x v="0"/>
    <x v="4"/>
    <s v="Yes"/>
    <n v="2"/>
    <x v="4"/>
    <x v="2"/>
    <n v="66"/>
    <x v="3"/>
    <x v="0"/>
  </r>
  <r>
    <n v="28667"/>
    <x v="1"/>
    <x v="1"/>
    <n v="70000"/>
    <n v="2"/>
    <x v="0"/>
    <x v="0"/>
    <s v="No"/>
    <n v="1"/>
    <x v="0"/>
    <x v="2"/>
    <n v="37"/>
    <x v="0"/>
    <x v="1"/>
  </r>
  <r>
    <n v="15194"/>
    <x v="1"/>
    <x v="1"/>
    <n v="120000"/>
    <n v="2"/>
    <x v="0"/>
    <x v="4"/>
    <s v="No"/>
    <n v="3"/>
    <x v="0"/>
    <x v="2"/>
    <n v="39"/>
    <x v="0"/>
    <x v="1"/>
  </r>
  <r>
    <n v="17436"/>
    <x v="0"/>
    <x v="1"/>
    <n v="60000"/>
    <n v="2"/>
    <x v="2"/>
    <x v="2"/>
    <s v="No"/>
    <n v="2"/>
    <x v="3"/>
    <x v="2"/>
    <n v="51"/>
    <x v="1"/>
    <x v="0"/>
  </r>
  <r>
    <n v="18935"/>
    <x v="0"/>
    <x v="0"/>
    <n v="130000"/>
    <n v="0"/>
    <x v="4"/>
    <x v="4"/>
    <s v="Yes"/>
    <n v="3"/>
    <x v="3"/>
    <x v="2"/>
    <n v="40"/>
    <x v="0"/>
    <x v="0"/>
  </r>
  <r>
    <n v="16871"/>
    <x v="0"/>
    <x v="0"/>
    <n v="90000"/>
    <n v="2"/>
    <x v="2"/>
    <x v="2"/>
    <s v="Yes"/>
    <n v="1"/>
    <x v="4"/>
    <x v="2"/>
    <n v="51"/>
    <x v="1"/>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1"/>
    <x v="1"/>
  </r>
  <r>
    <n v="27660"/>
    <x v="0"/>
    <x v="1"/>
    <n v="80000"/>
    <n v="4"/>
    <x v="4"/>
    <x v="4"/>
    <s v="Yes"/>
    <n v="2"/>
    <x v="2"/>
    <x v="2"/>
    <n v="70"/>
    <x v="3"/>
    <x v="0"/>
  </r>
  <r>
    <n v="18058"/>
    <x v="1"/>
    <x v="0"/>
    <n v="20000"/>
    <n v="3"/>
    <x v="2"/>
    <x v="0"/>
    <s v="Yes"/>
    <n v="2"/>
    <x v="1"/>
    <x v="2"/>
    <n v="78"/>
    <x v="3"/>
    <x v="0"/>
  </r>
  <r>
    <n v="20343"/>
    <x v="0"/>
    <x v="0"/>
    <n v="90000"/>
    <n v="4"/>
    <x v="1"/>
    <x v="2"/>
    <s v="Yes"/>
    <n v="1"/>
    <x v="3"/>
    <x v="2"/>
    <n v="45"/>
    <x v="1"/>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1"/>
    <x v="0"/>
  </r>
  <r>
    <n v="29231"/>
    <x v="1"/>
    <x v="1"/>
    <n v="80000"/>
    <n v="4"/>
    <x v="1"/>
    <x v="2"/>
    <s v="No"/>
    <n v="2"/>
    <x v="0"/>
    <x v="2"/>
    <n v="43"/>
    <x v="0"/>
    <x v="0"/>
  </r>
  <r>
    <n v="18858"/>
    <x v="1"/>
    <x v="1"/>
    <n v="60000"/>
    <n v="2"/>
    <x v="3"/>
    <x v="0"/>
    <s v="Yes"/>
    <n v="2"/>
    <x v="2"/>
    <x v="2"/>
    <n v="52"/>
    <x v="1"/>
    <x v="1"/>
  </r>
  <r>
    <n v="20000"/>
    <x v="0"/>
    <x v="1"/>
    <n v="60000"/>
    <n v="1"/>
    <x v="4"/>
    <x v="2"/>
    <s v="Yes"/>
    <n v="0"/>
    <x v="0"/>
    <x v="2"/>
    <n v="35"/>
    <x v="0"/>
    <x v="1"/>
  </r>
  <r>
    <n v="25261"/>
    <x v="0"/>
    <x v="1"/>
    <n v="40000"/>
    <n v="0"/>
    <x v="2"/>
    <x v="0"/>
    <s v="Yes"/>
    <n v="2"/>
    <x v="2"/>
    <x v="2"/>
    <n v="27"/>
    <x v="2"/>
    <x v="0"/>
  </r>
  <r>
    <n v="17458"/>
    <x v="1"/>
    <x v="1"/>
    <n v="70000"/>
    <n v="3"/>
    <x v="2"/>
    <x v="2"/>
    <s v="Yes"/>
    <n v="0"/>
    <x v="2"/>
    <x v="2"/>
    <n v="52"/>
    <x v="1"/>
    <x v="1"/>
  </r>
  <r>
    <n v="11644"/>
    <x v="1"/>
    <x v="1"/>
    <n v="40000"/>
    <n v="2"/>
    <x v="0"/>
    <x v="0"/>
    <s v="Yes"/>
    <n v="0"/>
    <x v="1"/>
    <x v="2"/>
    <n v="36"/>
    <x v="0"/>
    <x v="0"/>
  </r>
  <r>
    <n v="16145"/>
    <x v="1"/>
    <x v="0"/>
    <n v="70000"/>
    <n v="5"/>
    <x v="4"/>
    <x v="2"/>
    <s v="Yes"/>
    <n v="3"/>
    <x v="4"/>
    <x v="2"/>
    <n v="46"/>
    <x v="1"/>
    <x v="1"/>
  </r>
  <r>
    <n v="16890"/>
    <x v="0"/>
    <x v="1"/>
    <n v="60000"/>
    <n v="3"/>
    <x v="3"/>
    <x v="0"/>
    <s v="Yes"/>
    <n v="2"/>
    <x v="2"/>
    <x v="2"/>
    <n v="52"/>
    <x v="1"/>
    <x v="1"/>
  </r>
  <r>
    <n v="25983"/>
    <x v="0"/>
    <x v="1"/>
    <n v="70000"/>
    <n v="0"/>
    <x v="0"/>
    <x v="2"/>
    <s v="No"/>
    <n v="1"/>
    <x v="0"/>
    <x v="2"/>
    <n v="43"/>
    <x v="0"/>
    <x v="0"/>
  </r>
  <r>
    <n v="14633"/>
    <x v="0"/>
    <x v="1"/>
    <n v="60000"/>
    <n v="1"/>
    <x v="1"/>
    <x v="0"/>
    <s v="Yes"/>
    <n v="1"/>
    <x v="1"/>
    <x v="2"/>
    <n v="44"/>
    <x v="0"/>
    <x v="0"/>
  </r>
  <r>
    <n v="22994"/>
    <x v="0"/>
    <x v="0"/>
    <n v="80000"/>
    <n v="0"/>
    <x v="0"/>
    <x v="4"/>
    <s v="Yes"/>
    <n v="1"/>
    <x v="3"/>
    <x v="2"/>
    <n v="34"/>
    <x v="2"/>
    <x v="1"/>
  </r>
  <r>
    <n v="22983"/>
    <x v="1"/>
    <x v="0"/>
    <n v="30000"/>
    <n v="0"/>
    <x v="3"/>
    <x v="1"/>
    <s v="Yes"/>
    <n v="2"/>
    <x v="2"/>
    <x v="2"/>
    <n v="27"/>
    <x v="2"/>
    <x v="0"/>
  </r>
  <r>
    <n v="25184"/>
    <x v="1"/>
    <x v="1"/>
    <n v="110000"/>
    <n v="1"/>
    <x v="1"/>
    <x v="2"/>
    <s v="Yes"/>
    <n v="4"/>
    <x v="2"/>
    <x v="2"/>
    <n v="45"/>
    <x v="1"/>
    <x v="1"/>
  </r>
  <r>
    <n v="14469"/>
    <x v="0"/>
    <x v="0"/>
    <n v="100000"/>
    <n v="3"/>
    <x v="1"/>
    <x v="2"/>
    <s v="Yes"/>
    <n v="4"/>
    <x v="3"/>
    <x v="2"/>
    <n v="45"/>
    <x v="1"/>
    <x v="0"/>
  </r>
  <r>
    <n v="11538"/>
    <x v="1"/>
    <x v="0"/>
    <n v="60000"/>
    <n v="4"/>
    <x v="4"/>
    <x v="0"/>
    <s v="No"/>
    <n v="0"/>
    <x v="0"/>
    <x v="2"/>
    <n v="47"/>
    <x v="1"/>
    <x v="1"/>
  </r>
  <r>
    <n v="16245"/>
    <x v="1"/>
    <x v="0"/>
    <n v="80000"/>
    <n v="4"/>
    <x v="4"/>
    <x v="0"/>
    <s v="Yes"/>
    <n v="0"/>
    <x v="3"/>
    <x v="2"/>
    <n v="47"/>
    <x v="1"/>
    <x v="0"/>
  </r>
  <r>
    <n v="17858"/>
    <x v="0"/>
    <x v="1"/>
    <n v="40000"/>
    <n v="4"/>
    <x v="2"/>
    <x v="0"/>
    <s v="Yes"/>
    <n v="2"/>
    <x v="1"/>
    <x v="2"/>
    <n v="44"/>
    <x v="0"/>
    <x v="1"/>
  </r>
  <r>
    <n v="25347"/>
    <x v="1"/>
    <x v="0"/>
    <n v="20000"/>
    <n v="3"/>
    <x v="3"/>
    <x v="1"/>
    <s v="No"/>
    <n v="2"/>
    <x v="0"/>
    <x v="2"/>
    <n v="49"/>
    <x v="1"/>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1"/>
    <x v="0"/>
  </r>
  <r>
    <n v="21801"/>
    <x v="0"/>
    <x v="0"/>
    <n v="70000"/>
    <n v="4"/>
    <x v="1"/>
    <x v="2"/>
    <s v="Yes"/>
    <n v="1"/>
    <x v="3"/>
    <x v="2"/>
    <n v="55"/>
    <x v="1"/>
    <x v="0"/>
  </r>
  <r>
    <n v="25943"/>
    <x v="1"/>
    <x v="0"/>
    <n v="70000"/>
    <n v="0"/>
    <x v="1"/>
    <x v="0"/>
    <s v="No"/>
    <n v="2"/>
    <x v="0"/>
    <x v="2"/>
    <n v="27"/>
    <x v="2"/>
    <x v="1"/>
  </r>
  <r>
    <n v="22127"/>
    <x v="0"/>
    <x v="1"/>
    <n v="60000"/>
    <n v="3"/>
    <x v="4"/>
    <x v="4"/>
    <s v="Yes"/>
    <n v="2"/>
    <x v="3"/>
    <x v="2"/>
    <n v="67"/>
    <x v="3"/>
    <x v="0"/>
  </r>
  <r>
    <n v="20414"/>
    <x v="0"/>
    <x v="0"/>
    <n v="60000"/>
    <n v="0"/>
    <x v="1"/>
    <x v="0"/>
    <s v="Yes"/>
    <n v="2"/>
    <x v="2"/>
    <x v="2"/>
    <n v="29"/>
    <x v="2"/>
    <x v="0"/>
  </r>
  <r>
    <n v="23672"/>
    <x v="0"/>
    <x v="0"/>
    <n v="60000"/>
    <n v="3"/>
    <x v="4"/>
    <x v="4"/>
    <s v="Yes"/>
    <n v="2"/>
    <x v="3"/>
    <x v="2"/>
    <n v="67"/>
    <x v="3"/>
    <x v="0"/>
  </r>
  <r>
    <n v="29255"/>
    <x v="1"/>
    <x v="1"/>
    <n v="80000"/>
    <n v="3"/>
    <x v="1"/>
    <x v="2"/>
    <s v="No"/>
    <n v="1"/>
    <x v="3"/>
    <x v="2"/>
    <n v="51"/>
    <x v="1"/>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1"/>
    <x v="0"/>
  </r>
  <r>
    <n v="22088"/>
    <x v="0"/>
    <x v="0"/>
    <n v="130000"/>
    <n v="1"/>
    <x v="0"/>
    <x v="4"/>
    <s v="Yes"/>
    <n v="2"/>
    <x v="0"/>
    <x v="2"/>
    <n v="45"/>
    <x v="1"/>
    <x v="1"/>
  </r>
  <r>
    <n v="27388"/>
    <x v="0"/>
    <x v="1"/>
    <n v="60000"/>
    <n v="3"/>
    <x v="0"/>
    <x v="4"/>
    <s v="No"/>
    <n v="2"/>
    <x v="3"/>
    <x v="2"/>
    <n v="66"/>
    <x v="3"/>
    <x v="0"/>
  </r>
  <r>
    <n v="24745"/>
    <x v="1"/>
    <x v="0"/>
    <n v="30000"/>
    <n v="2"/>
    <x v="2"/>
    <x v="0"/>
    <s v="No"/>
    <n v="2"/>
    <x v="0"/>
    <x v="2"/>
    <n v="49"/>
    <x v="1"/>
    <x v="0"/>
  </r>
  <r>
    <n v="29237"/>
    <x v="1"/>
    <x v="0"/>
    <n v="120000"/>
    <n v="4"/>
    <x v="1"/>
    <x v="2"/>
    <s v="Yes"/>
    <n v="3"/>
    <x v="2"/>
    <x v="2"/>
    <n v="43"/>
    <x v="0"/>
    <x v="1"/>
  </r>
  <r>
    <n v="15272"/>
    <x v="1"/>
    <x v="1"/>
    <n v="40000"/>
    <n v="0"/>
    <x v="2"/>
    <x v="0"/>
    <s v="No"/>
    <n v="2"/>
    <x v="3"/>
    <x v="2"/>
    <n v="30"/>
    <x v="2"/>
    <x v="0"/>
  </r>
  <r>
    <n v="18949"/>
    <x v="1"/>
    <x v="1"/>
    <n v="70000"/>
    <n v="0"/>
    <x v="4"/>
    <x v="4"/>
    <s v="Yes"/>
    <n v="2"/>
    <x v="2"/>
    <x v="2"/>
    <n v="74"/>
    <x v="3"/>
    <x v="1"/>
  </r>
  <r>
    <n v="14507"/>
    <x v="0"/>
    <x v="1"/>
    <n v="100000"/>
    <n v="2"/>
    <x v="4"/>
    <x v="4"/>
    <s v="Yes"/>
    <n v="3"/>
    <x v="3"/>
    <x v="2"/>
    <n v="65"/>
    <x v="3"/>
    <x v="0"/>
  </r>
  <r>
    <n v="25886"/>
    <x v="0"/>
    <x v="0"/>
    <n v="60000"/>
    <n v="2"/>
    <x v="1"/>
    <x v="2"/>
    <s v="Yes"/>
    <n v="2"/>
    <x v="1"/>
    <x v="2"/>
    <n v="56"/>
    <x v="1"/>
    <x v="1"/>
  </r>
  <r>
    <n v="21441"/>
    <x v="0"/>
    <x v="1"/>
    <n v="50000"/>
    <n v="4"/>
    <x v="0"/>
    <x v="4"/>
    <s v="Yes"/>
    <n v="2"/>
    <x v="4"/>
    <x v="2"/>
    <n v="64"/>
    <x v="1"/>
    <x v="0"/>
  </r>
  <r>
    <n v="21741"/>
    <x v="0"/>
    <x v="0"/>
    <n v="70000"/>
    <n v="3"/>
    <x v="1"/>
    <x v="2"/>
    <s v="Yes"/>
    <n v="2"/>
    <x v="2"/>
    <x v="2"/>
    <n v="50"/>
    <x v="1"/>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1"/>
    <x v="0"/>
  </r>
  <r>
    <n v="22010"/>
    <x v="1"/>
    <x v="1"/>
    <n v="40000"/>
    <n v="0"/>
    <x v="2"/>
    <x v="0"/>
    <s v="Yes"/>
    <n v="2"/>
    <x v="2"/>
    <x v="2"/>
    <n v="31"/>
    <x v="2"/>
    <x v="0"/>
  </r>
  <r>
    <n v="25872"/>
    <x v="1"/>
    <x v="0"/>
    <n v="70000"/>
    <n v="2"/>
    <x v="0"/>
    <x v="4"/>
    <s v="No"/>
    <n v="1"/>
    <x v="1"/>
    <x v="2"/>
    <n v="58"/>
    <x v="1"/>
    <x v="1"/>
  </r>
  <r>
    <n v="19164"/>
    <x v="1"/>
    <x v="0"/>
    <n v="70000"/>
    <n v="0"/>
    <x v="0"/>
    <x v="2"/>
    <s v="No"/>
    <n v="1"/>
    <x v="1"/>
    <x v="2"/>
    <n v="38"/>
    <x v="0"/>
    <x v="1"/>
  </r>
  <r>
    <n v="18435"/>
    <x v="1"/>
    <x v="0"/>
    <n v="70000"/>
    <n v="5"/>
    <x v="4"/>
    <x v="4"/>
    <s v="Yes"/>
    <n v="2"/>
    <x v="4"/>
    <x v="2"/>
    <n v="67"/>
    <x v="3"/>
    <x v="1"/>
  </r>
  <r>
    <n v="14284"/>
    <x v="1"/>
    <x v="1"/>
    <n v="60000"/>
    <n v="0"/>
    <x v="1"/>
    <x v="2"/>
    <s v="No"/>
    <n v="2"/>
    <x v="3"/>
    <x v="2"/>
    <n v="32"/>
    <x v="2"/>
    <x v="1"/>
  </r>
  <r>
    <n v="11287"/>
    <x v="0"/>
    <x v="1"/>
    <n v="70000"/>
    <n v="5"/>
    <x v="1"/>
    <x v="2"/>
    <s v="No"/>
    <n v="3"/>
    <x v="2"/>
    <x v="2"/>
    <n v="45"/>
    <x v="1"/>
    <x v="0"/>
  </r>
  <r>
    <n v="13066"/>
    <x v="1"/>
    <x v="1"/>
    <n v="30000"/>
    <n v="0"/>
    <x v="2"/>
    <x v="0"/>
    <s v="No"/>
    <n v="2"/>
    <x v="3"/>
    <x v="2"/>
    <n v="31"/>
    <x v="2"/>
    <x v="1"/>
  </r>
  <r>
    <n v="29106"/>
    <x v="1"/>
    <x v="1"/>
    <n v="40000"/>
    <n v="0"/>
    <x v="2"/>
    <x v="0"/>
    <s v="No"/>
    <n v="2"/>
    <x v="3"/>
    <x v="2"/>
    <n v="31"/>
    <x v="2"/>
    <x v="1"/>
  </r>
  <r>
    <n v="26236"/>
    <x v="0"/>
    <x v="0"/>
    <n v="40000"/>
    <n v="3"/>
    <x v="1"/>
    <x v="1"/>
    <s v="Yes"/>
    <n v="1"/>
    <x v="0"/>
    <x v="2"/>
    <n v="31"/>
    <x v="2"/>
    <x v="0"/>
  </r>
  <r>
    <n v="17531"/>
    <x v="0"/>
    <x v="1"/>
    <n v="60000"/>
    <n v="2"/>
    <x v="2"/>
    <x v="2"/>
    <s v="No"/>
    <n v="2"/>
    <x v="2"/>
    <x v="2"/>
    <n v="50"/>
    <x v="1"/>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1"/>
    <x v="0"/>
  </r>
  <r>
    <n v="28580"/>
    <x v="0"/>
    <x v="0"/>
    <n v="80000"/>
    <n v="0"/>
    <x v="4"/>
    <x v="0"/>
    <s v="Yes"/>
    <n v="0"/>
    <x v="3"/>
    <x v="2"/>
    <n v="40"/>
    <x v="0"/>
    <x v="1"/>
  </r>
  <r>
    <n v="14443"/>
    <x v="0"/>
    <x v="1"/>
    <n v="130000"/>
    <n v="1"/>
    <x v="4"/>
    <x v="4"/>
    <s v="Yes"/>
    <n v="4"/>
    <x v="0"/>
    <x v="2"/>
    <n v="40"/>
    <x v="0"/>
    <x v="0"/>
  </r>
  <r>
    <n v="17864"/>
    <x v="0"/>
    <x v="0"/>
    <n v="60000"/>
    <n v="1"/>
    <x v="1"/>
    <x v="0"/>
    <s v="Yes"/>
    <n v="1"/>
    <x v="1"/>
    <x v="2"/>
    <n v="46"/>
    <x v="1"/>
    <x v="1"/>
  </r>
  <r>
    <n v="20505"/>
    <x v="0"/>
    <x v="0"/>
    <n v="40000"/>
    <n v="5"/>
    <x v="2"/>
    <x v="2"/>
    <s v="No"/>
    <n v="2"/>
    <x v="4"/>
    <x v="2"/>
    <n v="61"/>
    <x v="1"/>
    <x v="0"/>
  </r>
  <r>
    <n v="14592"/>
    <x v="0"/>
    <x v="0"/>
    <n v="60000"/>
    <n v="0"/>
    <x v="4"/>
    <x v="2"/>
    <s v="Yes"/>
    <n v="0"/>
    <x v="0"/>
    <x v="2"/>
    <n v="40"/>
    <x v="0"/>
    <x v="0"/>
  </r>
  <r>
    <n v="22227"/>
    <x v="0"/>
    <x v="0"/>
    <n v="60000"/>
    <n v="2"/>
    <x v="2"/>
    <x v="2"/>
    <s v="Yes"/>
    <n v="2"/>
    <x v="2"/>
    <x v="2"/>
    <n v="50"/>
    <x v="1"/>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1"/>
    <x v="0"/>
  </r>
  <r>
    <n v="18517"/>
    <x v="0"/>
    <x v="1"/>
    <n v="100000"/>
    <n v="3"/>
    <x v="0"/>
    <x v="4"/>
    <s v="Yes"/>
    <n v="4"/>
    <x v="0"/>
    <x v="2"/>
    <n v="41"/>
    <x v="0"/>
    <x v="0"/>
  </r>
  <r>
    <n v="21717"/>
    <x v="0"/>
    <x v="1"/>
    <n v="40000"/>
    <n v="2"/>
    <x v="1"/>
    <x v="1"/>
    <s v="Yes"/>
    <n v="1"/>
    <x v="0"/>
    <x v="2"/>
    <n v="47"/>
    <x v="1"/>
    <x v="0"/>
  </r>
  <r>
    <n v="13760"/>
    <x v="0"/>
    <x v="1"/>
    <n v="60000"/>
    <n v="4"/>
    <x v="4"/>
    <x v="0"/>
    <s v="No"/>
    <n v="0"/>
    <x v="0"/>
    <x v="2"/>
    <n v="47"/>
    <x v="1"/>
    <x v="0"/>
  </r>
  <r>
    <n v="18145"/>
    <x v="0"/>
    <x v="1"/>
    <n v="80000"/>
    <n v="5"/>
    <x v="0"/>
    <x v="4"/>
    <s v="No"/>
    <n v="2"/>
    <x v="1"/>
    <x v="0"/>
    <n v="62"/>
    <x v="1"/>
    <x v="0"/>
  </r>
  <r>
    <n v="21770"/>
    <x v="0"/>
    <x v="1"/>
    <n v="60000"/>
    <n v="4"/>
    <x v="0"/>
    <x v="4"/>
    <s v="Yes"/>
    <n v="2"/>
    <x v="4"/>
    <x v="2"/>
    <n v="60"/>
    <x v="1"/>
    <x v="0"/>
  </r>
  <r>
    <n v="11165"/>
    <x v="0"/>
    <x v="0"/>
    <n v="60000"/>
    <n v="0"/>
    <x v="1"/>
    <x v="0"/>
    <s v="No"/>
    <n v="1"/>
    <x v="3"/>
    <x v="2"/>
    <n v="33"/>
    <x v="2"/>
    <x v="0"/>
  </r>
  <r>
    <n v="16377"/>
    <x v="1"/>
    <x v="0"/>
    <n v="80000"/>
    <n v="4"/>
    <x v="4"/>
    <x v="0"/>
    <s v="No"/>
    <n v="0"/>
    <x v="0"/>
    <x v="2"/>
    <n v="47"/>
    <x v="1"/>
    <x v="0"/>
  </r>
  <r>
    <n v="26248"/>
    <x v="0"/>
    <x v="1"/>
    <n v="20000"/>
    <n v="3"/>
    <x v="3"/>
    <x v="1"/>
    <s v="No"/>
    <n v="2"/>
    <x v="0"/>
    <x v="2"/>
    <n v="52"/>
    <x v="1"/>
    <x v="0"/>
  </r>
  <r>
    <n v="23461"/>
    <x v="0"/>
    <x v="0"/>
    <n v="90000"/>
    <n v="5"/>
    <x v="1"/>
    <x v="2"/>
    <s v="Yes"/>
    <n v="3"/>
    <x v="1"/>
    <x v="2"/>
    <n v="40"/>
    <x v="0"/>
    <x v="0"/>
  </r>
  <r>
    <n v="29133"/>
    <x v="1"/>
    <x v="0"/>
    <n v="60000"/>
    <n v="4"/>
    <x v="0"/>
    <x v="0"/>
    <s v="No"/>
    <n v="2"/>
    <x v="0"/>
    <x v="2"/>
    <n v="42"/>
    <x v="0"/>
    <x v="0"/>
  </r>
  <r>
    <n v="27673"/>
    <x v="1"/>
    <x v="0"/>
    <n v="60000"/>
    <n v="3"/>
    <x v="4"/>
    <x v="4"/>
    <s v="Yes"/>
    <n v="2"/>
    <x v="2"/>
    <x v="2"/>
    <n v="53"/>
    <x v="1"/>
    <x v="1"/>
  </r>
  <r>
    <n v="12774"/>
    <x v="0"/>
    <x v="0"/>
    <n v="40000"/>
    <n v="1"/>
    <x v="1"/>
    <x v="1"/>
    <s v="Yes"/>
    <n v="1"/>
    <x v="3"/>
    <x v="2"/>
    <n v="51"/>
    <x v="1"/>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1"/>
    <x v="0"/>
  </r>
  <r>
    <n v="23144"/>
    <x v="0"/>
    <x v="1"/>
    <n v="50000"/>
    <n v="1"/>
    <x v="0"/>
    <x v="0"/>
    <s v="Yes"/>
    <n v="0"/>
    <x v="0"/>
    <x v="2"/>
    <n v="34"/>
    <x v="2"/>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1"/>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1"/>
    <x v="1"/>
  </r>
  <r>
    <n v="11619"/>
    <x v="1"/>
    <x v="0"/>
    <n v="50000"/>
    <n v="0"/>
    <x v="4"/>
    <x v="0"/>
    <s v="Yes"/>
    <n v="0"/>
    <x v="3"/>
    <x v="2"/>
    <n v="33"/>
    <x v="2"/>
    <x v="0"/>
  </r>
  <r>
    <n v="29132"/>
    <x v="1"/>
    <x v="0"/>
    <n v="40000"/>
    <n v="0"/>
    <x v="0"/>
    <x v="2"/>
    <s v="Yes"/>
    <n v="1"/>
    <x v="1"/>
    <x v="2"/>
    <n v="42"/>
    <x v="0"/>
    <x v="1"/>
  </r>
  <r>
    <n v="11199"/>
    <x v="0"/>
    <x v="0"/>
    <n v="70000"/>
    <n v="4"/>
    <x v="0"/>
    <x v="4"/>
    <s v="Yes"/>
    <n v="1"/>
    <x v="4"/>
    <x v="2"/>
    <n v="59"/>
    <x v="1"/>
    <x v="0"/>
  </r>
  <r>
    <n v="20296"/>
    <x v="1"/>
    <x v="0"/>
    <n v="60000"/>
    <n v="0"/>
    <x v="1"/>
    <x v="0"/>
    <s v="No"/>
    <n v="1"/>
    <x v="3"/>
    <x v="2"/>
    <n v="33"/>
    <x v="2"/>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2"/>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1"/>
    <x v="0"/>
  </r>
  <r>
    <n v="26678"/>
    <x v="1"/>
    <x v="0"/>
    <n v="80000"/>
    <n v="2"/>
    <x v="3"/>
    <x v="0"/>
    <s v="Yes"/>
    <n v="2"/>
    <x v="2"/>
    <x v="2"/>
    <n v="49"/>
    <x v="1"/>
    <x v="0"/>
  </r>
  <r>
    <n v="23275"/>
    <x v="0"/>
    <x v="1"/>
    <n v="30000"/>
    <n v="2"/>
    <x v="2"/>
    <x v="0"/>
    <s v="Yes"/>
    <n v="2"/>
    <x v="3"/>
    <x v="2"/>
    <n v="49"/>
    <x v="1"/>
    <x v="0"/>
  </r>
  <r>
    <n v="11270"/>
    <x v="0"/>
    <x v="1"/>
    <n v="130000"/>
    <n v="2"/>
    <x v="4"/>
    <x v="4"/>
    <s v="Yes"/>
    <n v="3"/>
    <x v="0"/>
    <x v="2"/>
    <n v="42"/>
    <x v="0"/>
    <x v="1"/>
  </r>
  <r>
    <n v="20084"/>
    <x v="0"/>
    <x v="1"/>
    <n v="20000"/>
    <n v="2"/>
    <x v="2"/>
    <x v="3"/>
    <s v="No"/>
    <n v="2"/>
    <x v="0"/>
    <x v="2"/>
    <n v="53"/>
    <x v="1"/>
    <x v="0"/>
  </r>
  <r>
    <n v="16144"/>
    <x v="0"/>
    <x v="1"/>
    <n v="70000"/>
    <n v="1"/>
    <x v="4"/>
    <x v="2"/>
    <s v="Yes"/>
    <n v="1"/>
    <x v="0"/>
    <x v="2"/>
    <n v="46"/>
    <x v="1"/>
    <x v="1"/>
  </r>
  <r>
    <n v="27731"/>
    <x v="0"/>
    <x v="1"/>
    <n v="40000"/>
    <n v="0"/>
    <x v="2"/>
    <x v="0"/>
    <s v="Yes"/>
    <n v="2"/>
    <x v="2"/>
    <x v="2"/>
    <n v="27"/>
    <x v="2"/>
    <x v="0"/>
  </r>
  <r>
    <n v="11886"/>
    <x v="0"/>
    <x v="0"/>
    <n v="60000"/>
    <n v="3"/>
    <x v="0"/>
    <x v="2"/>
    <s v="Yes"/>
    <n v="1"/>
    <x v="0"/>
    <x v="2"/>
    <n v="48"/>
    <x v="1"/>
    <x v="1"/>
  </r>
  <r>
    <n v="24324"/>
    <x v="1"/>
    <x v="0"/>
    <n v="60000"/>
    <n v="4"/>
    <x v="0"/>
    <x v="0"/>
    <s v="Yes"/>
    <n v="2"/>
    <x v="1"/>
    <x v="2"/>
    <n v="41"/>
    <x v="0"/>
    <x v="1"/>
  </r>
  <r>
    <n v="22220"/>
    <x v="0"/>
    <x v="1"/>
    <n v="60000"/>
    <n v="2"/>
    <x v="2"/>
    <x v="2"/>
    <s v="No"/>
    <n v="2"/>
    <x v="3"/>
    <x v="2"/>
    <n v="49"/>
    <x v="1"/>
    <x v="1"/>
  </r>
  <r>
    <n v="26625"/>
    <x v="1"/>
    <x v="0"/>
    <n v="60000"/>
    <n v="0"/>
    <x v="4"/>
    <x v="2"/>
    <s v="Yes"/>
    <n v="1"/>
    <x v="1"/>
    <x v="2"/>
    <n v="38"/>
    <x v="0"/>
    <x v="1"/>
  </r>
  <r>
    <n v="23027"/>
    <x v="1"/>
    <x v="1"/>
    <n v="130000"/>
    <n v="1"/>
    <x v="0"/>
    <x v="4"/>
    <s v="No"/>
    <n v="4"/>
    <x v="0"/>
    <x v="2"/>
    <n v="44"/>
    <x v="0"/>
    <x v="0"/>
  </r>
  <r>
    <n v="16867"/>
    <x v="1"/>
    <x v="0"/>
    <n v="130000"/>
    <n v="1"/>
    <x v="0"/>
    <x v="4"/>
    <s v="No"/>
    <n v="3"/>
    <x v="0"/>
    <x v="2"/>
    <n v="45"/>
    <x v="1"/>
    <x v="1"/>
  </r>
  <r>
    <n v="14514"/>
    <x v="1"/>
    <x v="0"/>
    <n v="30000"/>
    <n v="0"/>
    <x v="1"/>
    <x v="0"/>
    <s v="Yes"/>
    <n v="1"/>
    <x v="2"/>
    <x v="2"/>
    <n v="26"/>
    <x v="2"/>
    <x v="0"/>
  </r>
  <r>
    <n v="19634"/>
    <x v="0"/>
    <x v="1"/>
    <n v="40000"/>
    <n v="0"/>
    <x v="2"/>
    <x v="0"/>
    <s v="Yes"/>
    <n v="1"/>
    <x v="2"/>
    <x v="2"/>
    <n v="31"/>
    <x v="2"/>
    <x v="0"/>
  </r>
  <r>
    <n v="18504"/>
    <x v="0"/>
    <x v="1"/>
    <n v="70000"/>
    <n v="2"/>
    <x v="3"/>
    <x v="0"/>
    <s v="No"/>
    <n v="2"/>
    <x v="3"/>
    <x v="2"/>
    <n v="49"/>
    <x v="1"/>
    <x v="0"/>
  </r>
  <r>
    <n v="28799"/>
    <x v="1"/>
    <x v="0"/>
    <n v="40000"/>
    <n v="2"/>
    <x v="1"/>
    <x v="1"/>
    <s v="No"/>
    <n v="1"/>
    <x v="3"/>
    <x v="2"/>
    <n v="47"/>
    <x v="1"/>
    <x v="1"/>
  </r>
  <r>
    <n v="11225"/>
    <x v="0"/>
    <x v="0"/>
    <n v="60000"/>
    <n v="2"/>
    <x v="1"/>
    <x v="2"/>
    <s v="Yes"/>
    <n v="1"/>
    <x v="4"/>
    <x v="2"/>
    <n v="55"/>
    <x v="1"/>
    <x v="0"/>
  </r>
  <r>
    <n v="17657"/>
    <x v="0"/>
    <x v="1"/>
    <n v="40000"/>
    <n v="4"/>
    <x v="1"/>
    <x v="1"/>
    <s v="No"/>
    <n v="0"/>
    <x v="0"/>
    <x v="2"/>
    <n v="30"/>
    <x v="2"/>
    <x v="0"/>
  </r>
  <r>
    <n v="14913"/>
    <x v="0"/>
    <x v="0"/>
    <n v="40000"/>
    <n v="1"/>
    <x v="1"/>
    <x v="1"/>
    <s v="Yes"/>
    <n v="1"/>
    <x v="3"/>
    <x v="2"/>
    <n v="48"/>
    <x v="1"/>
    <x v="1"/>
  </r>
  <r>
    <n v="14077"/>
    <x v="1"/>
    <x v="1"/>
    <n v="30000"/>
    <n v="0"/>
    <x v="2"/>
    <x v="0"/>
    <s v="Yes"/>
    <n v="2"/>
    <x v="2"/>
    <x v="2"/>
    <n v="30"/>
    <x v="2"/>
    <x v="0"/>
  </r>
  <r>
    <n v="13296"/>
    <x v="0"/>
    <x v="1"/>
    <n v="110000"/>
    <n v="1"/>
    <x v="0"/>
    <x v="4"/>
    <s v="Yes"/>
    <n v="3"/>
    <x v="2"/>
    <x v="2"/>
    <n v="45"/>
    <x v="1"/>
    <x v="0"/>
  </r>
  <r>
    <n v="20535"/>
    <x v="0"/>
    <x v="0"/>
    <n v="70000"/>
    <n v="4"/>
    <x v="1"/>
    <x v="2"/>
    <s v="Yes"/>
    <n v="1"/>
    <x v="4"/>
    <x v="2"/>
    <n v="56"/>
    <x v="1"/>
    <x v="0"/>
  </r>
  <r>
    <n v="12452"/>
    <x v="0"/>
    <x v="1"/>
    <n v="60000"/>
    <n v="4"/>
    <x v="4"/>
    <x v="0"/>
    <s v="Yes"/>
    <n v="0"/>
    <x v="3"/>
    <x v="2"/>
    <n v="47"/>
    <x v="1"/>
    <x v="1"/>
  </r>
  <r>
    <n v="28043"/>
    <x v="0"/>
    <x v="0"/>
    <n v="60000"/>
    <n v="2"/>
    <x v="0"/>
    <x v="4"/>
    <s v="Yes"/>
    <n v="0"/>
    <x v="4"/>
    <x v="2"/>
    <n v="56"/>
    <x v="1"/>
    <x v="0"/>
  </r>
  <r>
    <n v="12957"/>
    <x v="1"/>
    <x v="0"/>
    <n v="70000"/>
    <n v="1"/>
    <x v="0"/>
    <x v="2"/>
    <s v="No"/>
    <n v="1"/>
    <x v="0"/>
    <x v="2"/>
    <n v="44"/>
    <x v="0"/>
    <x v="0"/>
  </r>
  <r>
    <n v="15412"/>
    <x v="0"/>
    <x v="1"/>
    <n v="130000"/>
    <n v="2"/>
    <x v="4"/>
    <x v="4"/>
    <s v="Yes"/>
    <n v="3"/>
    <x v="1"/>
    <x v="2"/>
    <n v="69"/>
    <x v="3"/>
    <x v="0"/>
  </r>
  <r>
    <n v="20514"/>
    <x v="0"/>
    <x v="0"/>
    <n v="70000"/>
    <n v="2"/>
    <x v="1"/>
    <x v="2"/>
    <s v="Yes"/>
    <n v="1"/>
    <x v="1"/>
    <x v="2"/>
    <n v="59"/>
    <x v="1"/>
    <x v="0"/>
  </r>
  <r>
    <n v="20758"/>
    <x v="0"/>
    <x v="1"/>
    <n v="30000"/>
    <n v="2"/>
    <x v="2"/>
    <x v="0"/>
    <s v="Yes"/>
    <n v="2"/>
    <x v="3"/>
    <x v="2"/>
    <n v="50"/>
    <x v="1"/>
    <x v="0"/>
  </r>
  <r>
    <n v="11801"/>
    <x v="0"/>
    <x v="1"/>
    <n v="60000"/>
    <n v="1"/>
    <x v="4"/>
    <x v="2"/>
    <s v="Yes"/>
    <n v="0"/>
    <x v="1"/>
    <x v="2"/>
    <n v="36"/>
    <x v="0"/>
    <x v="0"/>
  </r>
  <r>
    <n v="22211"/>
    <x v="0"/>
    <x v="1"/>
    <n v="60000"/>
    <n v="0"/>
    <x v="1"/>
    <x v="2"/>
    <s v="Yes"/>
    <n v="2"/>
    <x v="2"/>
    <x v="2"/>
    <n v="32"/>
    <x v="2"/>
    <x v="0"/>
  </r>
  <r>
    <n v="28087"/>
    <x v="1"/>
    <x v="0"/>
    <n v="40000"/>
    <n v="0"/>
    <x v="1"/>
    <x v="0"/>
    <s v="No"/>
    <n v="1"/>
    <x v="3"/>
    <x v="2"/>
    <n v="27"/>
    <x v="2"/>
    <x v="0"/>
  </r>
  <r>
    <n v="23668"/>
    <x v="0"/>
    <x v="0"/>
    <n v="40000"/>
    <n v="4"/>
    <x v="2"/>
    <x v="2"/>
    <s v="Yes"/>
    <n v="2"/>
    <x v="2"/>
    <x v="2"/>
    <n v="59"/>
    <x v="1"/>
    <x v="1"/>
  </r>
  <r>
    <n v="27441"/>
    <x v="0"/>
    <x v="1"/>
    <n v="60000"/>
    <n v="3"/>
    <x v="2"/>
    <x v="2"/>
    <s v="No"/>
    <n v="2"/>
    <x v="1"/>
    <x v="2"/>
    <n v="53"/>
    <x v="1"/>
    <x v="0"/>
  </r>
  <r>
    <n v="27261"/>
    <x v="0"/>
    <x v="1"/>
    <n v="40000"/>
    <n v="1"/>
    <x v="0"/>
    <x v="0"/>
    <s v="No"/>
    <n v="1"/>
    <x v="0"/>
    <x v="2"/>
    <n v="36"/>
    <x v="0"/>
    <x v="1"/>
  </r>
  <r>
    <n v="18649"/>
    <x v="1"/>
    <x v="1"/>
    <n v="30000"/>
    <n v="1"/>
    <x v="2"/>
    <x v="1"/>
    <s v="Yes"/>
    <n v="2"/>
    <x v="3"/>
    <x v="2"/>
    <n v="51"/>
    <x v="1"/>
    <x v="1"/>
  </r>
  <r>
    <n v="21714"/>
    <x v="1"/>
    <x v="0"/>
    <n v="80000"/>
    <n v="5"/>
    <x v="4"/>
    <x v="0"/>
    <s v="No"/>
    <n v="0"/>
    <x v="0"/>
    <x v="2"/>
    <n v="47"/>
    <x v="1"/>
    <x v="0"/>
  </r>
  <r>
    <n v="23217"/>
    <x v="1"/>
    <x v="0"/>
    <n v="60000"/>
    <n v="3"/>
    <x v="4"/>
    <x v="2"/>
    <s v="Yes"/>
    <n v="0"/>
    <x v="1"/>
    <x v="2"/>
    <n v="43"/>
    <x v="0"/>
    <x v="1"/>
  </r>
  <r>
    <n v="23797"/>
    <x v="1"/>
    <x v="1"/>
    <n v="20000"/>
    <n v="3"/>
    <x v="3"/>
    <x v="1"/>
    <s v="No"/>
    <n v="2"/>
    <x v="0"/>
    <x v="2"/>
    <n v="50"/>
    <x v="1"/>
    <x v="0"/>
  </r>
  <r>
    <n v="13216"/>
    <x v="0"/>
    <x v="0"/>
    <n v="60000"/>
    <n v="5"/>
    <x v="0"/>
    <x v="4"/>
    <s v="Yes"/>
    <n v="3"/>
    <x v="4"/>
    <x v="2"/>
    <n v="59"/>
    <x v="1"/>
    <x v="0"/>
  </r>
  <r>
    <n v="20657"/>
    <x v="1"/>
    <x v="1"/>
    <n v="50000"/>
    <n v="2"/>
    <x v="0"/>
    <x v="0"/>
    <s v="Yes"/>
    <n v="0"/>
    <x v="1"/>
    <x v="2"/>
    <n v="37"/>
    <x v="0"/>
    <x v="1"/>
  </r>
  <r>
    <n v="12882"/>
    <x v="0"/>
    <x v="1"/>
    <n v="50000"/>
    <n v="1"/>
    <x v="4"/>
    <x v="0"/>
    <s v="Yes"/>
    <n v="0"/>
    <x v="0"/>
    <x v="2"/>
    <n v="33"/>
    <x v="2"/>
    <x v="1"/>
  </r>
  <r>
    <n v="25908"/>
    <x v="0"/>
    <x v="0"/>
    <n v="60000"/>
    <n v="0"/>
    <x v="1"/>
    <x v="0"/>
    <s v="No"/>
    <n v="1"/>
    <x v="3"/>
    <x v="2"/>
    <n v="27"/>
    <x v="2"/>
    <x v="0"/>
  </r>
  <r>
    <n v="16753"/>
    <x v="1"/>
    <x v="0"/>
    <n v="70000"/>
    <n v="0"/>
    <x v="1"/>
    <x v="0"/>
    <s v="Yes"/>
    <n v="2"/>
    <x v="2"/>
    <x v="2"/>
    <n v="34"/>
    <x v="2"/>
    <x v="1"/>
  </r>
  <r>
    <n v="14608"/>
    <x v="0"/>
    <x v="1"/>
    <n v="50000"/>
    <n v="4"/>
    <x v="0"/>
    <x v="0"/>
    <s v="Yes"/>
    <n v="3"/>
    <x v="4"/>
    <x v="2"/>
    <n v="42"/>
    <x v="0"/>
    <x v="0"/>
  </r>
  <r>
    <n v="24979"/>
    <x v="0"/>
    <x v="0"/>
    <n v="60000"/>
    <n v="2"/>
    <x v="1"/>
    <x v="2"/>
    <s v="Yes"/>
    <n v="2"/>
    <x v="1"/>
    <x v="2"/>
    <n v="57"/>
    <x v="1"/>
    <x v="1"/>
  </r>
  <r>
    <n v="13313"/>
    <x v="0"/>
    <x v="0"/>
    <n v="120000"/>
    <n v="1"/>
    <x v="2"/>
    <x v="2"/>
    <s v="No"/>
    <n v="4"/>
    <x v="1"/>
    <x v="2"/>
    <n v="45"/>
    <x v="1"/>
    <x v="0"/>
  </r>
  <r>
    <n v="18952"/>
    <x v="0"/>
    <x v="0"/>
    <n v="100000"/>
    <n v="4"/>
    <x v="0"/>
    <x v="4"/>
    <s v="Yes"/>
    <n v="4"/>
    <x v="0"/>
    <x v="2"/>
    <n v="40"/>
    <x v="0"/>
    <x v="0"/>
  </r>
  <r>
    <n v="17699"/>
    <x v="0"/>
    <x v="1"/>
    <n v="60000"/>
    <n v="1"/>
    <x v="4"/>
    <x v="0"/>
    <s v="No"/>
    <n v="0"/>
    <x v="0"/>
    <x v="2"/>
    <n v="55"/>
    <x v="1"/>
    <x v="0"/>
  </r>
  <r>
    <n v="14657"/>
    <x v="0"/>
    <x v="1"/>
    <n v="80000"/>
    <n v="1"/>
    <x v="1"/>
    <x v="0"/>
    <s v="No"/>
    <n v="1"/>
    <x v="0"/>
    <x v="2"/>
    <n v="47"/>
    <x v="1"/>
    <x v="1"/>
  </r>
  <r>
    <n v="11540"/>
    <x v="1"/>
    <x v="1"/>
    <n v="60000"/>
    <n v="4"/>
    <x v="4"/>
    <x v="0"/>
    <s v="Yes"/>
    <n v="0"/>
    <x v="3"/>
    <x v="2"/>
    <n v="47"/>
    <x v="1"/>
    <x v="1"/>
  </r>
  <r>
    <n v="11783"/>
    <x v="0"/>
    <x v="0"/>
    <n v="60000"/>
    <n v="1"/>
    <x v="4"/>
    <x v="0"/>
    <s v="Yes"/>
    <n v="0"/>
    <x v="0"/>
    <x v="2"/>
    <n v="34"/>
    <x v="2"/>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1"/>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1"/>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1"/>
    <x v="0"/>
  </r>
  <r>
    <n v="22221"/>
    <x v="0"/>
    <x v="1"/>
    <n v="60000"/>
    <n v="2"/>
    <x v="2"/>
    <x v="2"/>
    <s v="No"/>
    <n v="2"/>
    <x v="3"/>
    <x v="2"/>
    <n v="48"/>
    <x v="1"/>
    <x v="1"/>
  </r>
  <r>
    <n v="28228"/>
    <x v="1"/>
    <x v="0"/>
    <n v="80000"/>
    <n v="2"/>
    <x v="3"/>
    <x v="0"/>
    <s v="No"/>
    <n v="2"/>
    <x v="3"/>
    <x v="2"/>
    <n v="50"/>
    <x v="1"/>
    <x v="0"/>
  </r>
  <r>
    <n v="18363"/>
    <x v="0"/>
    <x v="1"/>
    <n v="40000"/>
    <n v="0"/>
    <x v="2"/>
    <x v="0"/>
    <s v="Yes"/>
    <n v="2"/>
    <x v="2"/>
    <x v="2"/>
    <n v="28"/>
    <x v="2"/>
    <x v="1"/>
  </r>
  <r>
    <n v="23256"/>
    <x v="1"/>
    <x v="1"/>
    <n v="30000"/>
    <n v="1"/>
    <x v="2"/>
    <x v="1"/>
    <s v="No"/>
    <n v="1"/>
    <x v="2"/>
    <x v="2"/>
    <n v="52"/>
    <x v="1"/>
    <x v="0"/>
  </r>
  <r>
    <n v="12768"/>
    <x v="0"/>
    <x v="1"/>
    <n v="30000"/>
    <n v="1"/>
    <x v="2"/>
    <x v="1"/>
    <s v="Yes"/>
    <n v="1"/>
    <x v="1"/>
    <x v="2"/>
    <n v="52"/>
    <x v="1"/>
    <x v="1"/>
  </r>
  <r>
    <n v="20361"/>
    <x v="0"/>
    <x v="1"/>
    <n v="50000"/>
    <n v="2"/>
    <x v="4"/>
    <x v="4"/>
    <s v="Yes"/>
    <n v="2"/>
    <x v="2"/>
    <x v="2"/>
    <n v="69"/>
    <x v="3"/>
    <x v="0"/>
  </r>
  <r>
    <n v="21306"/>
    <x v="1"/>
    <x v="1"/>
    <n v="60000"/>
    <n v="2"/>
    <x v="2"/>
    <x v="2"/>
    <s v="Yes"/>
    <n v="2"/>
    <x v="2"/>
    <x v="2"/>
    <n v="51"/>
    <x v="1"/>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2"/>
    <x v="1"/>
  </r>
  <r>
    <n v="15532"/>
    <x v="1"/>
    <x v="1"/>
    <n v="60000"/>
    <n v="4"/>
    <x v="0"/>
    <x v="2"/>
    <s v="Yes"/>
    <n v="2"/>
    <x v="1"/>
    <x v="2"/>
    <n v="43"/>
    <x v="0"/>
    <x v="1"/>
  </r>
  <r>
    <n v="11255"/>
    <x v="0"/>
    <x v="1"/>
    <n v="70000"/>
    <n v="4"/>
    <x v="4"/>
    <x v="4"/>
    <s v="Yes"/>
    <n v="2"/>
    <x v="2"/>
    <x v="2"/>
    <n v="73"/>
    <x v="3"/>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2"/>
    <x v="0"/>
  </r>
  <r>
    <n v="23248"/>
    <x v="0"/>
    <x v="0"/>
    <n v="10000"/>
    <n v="2"/>
    <x v="2"/>
    <x v="3"/>
    <s v="Yes"/>
    <n v="2"/>
    <x v="3"/>
    <x v="2"/>
    <n v="53"/>
    <x v="1"/>
    <x v="0"/>
  </r>
  <r>
    <n v="21417"/>
    <x v="1"/>
    <x v="0"/>
    <n v="60000"/>
    <n v="0"/>
    <x v="1"/>
    <x v="2"/>
    <s v="No"/>
    <n v="2"/>
    <x v="3"/>
    <x v="2"/>
    <n v="32"/>
    <x v="2"/>
    <x v="1"/>
  </r>
  <r>
    <n v="17668"/>
    <x v="1"/>
    <x v="1"/>
    <n v="30000"/>
    <n v="2"/>
    <x v="2"/>
    <x v="0"/>
    <s v="Yes"/>
    <n v="2"/>
    <x v="3"/>
    <x v="2"/>
    <n v="50"/>
    <x v="1"/>
    <x v="1"/>
  </r>
  <r>
    <n v="27994"/>
    <x v="0"/>
    <x v="0"/>
    <n v="40000"/>
    <n v="4"/>
    <x v="2"/>
    <x v="2"/>
    <s v="Yes"/>
    <n v="2"/>
    <x v="2"/>
    <x v="2"/>
    <n v="69"/>
    <x v="3"/>
    <x v="0"/>
  </r>
  <r>
    <n v="20376"/>
    <x v="1"/>
    <x v="0"/>
    <n v="70000"/>
    <n v="3"/>
    <x v="4"/>
    <x v="4"/>
    <s v="Yes"/>
    <n v="2"/>
    <x v="2"/>
    <x v="2"/>
    <n v="52"/>
    <x v="1"/>
    <x v="1"/>
  </r>
  <r>
    <n v="25954"/>
    <x v="0"/>
    <x v="1"/>
    <n v="60000"/>
    <n v="0"/>
    <x v="1"/>
    <x v="0"/>
    <s v="No"/>
    <n v="2"/>
    <x v="3"/>
    <x v="2"/>
    <n v="31"/>
    <x v="2"/>
    <x v="0"/>
  </r>
  <r>
    <n v="15749"/>
    <x v="1"/>
    <x v="0"/>
    <n v="70000"/>
    <n v="4"/>
    <x v="0"/>
    <x v="4"/>
    <s v="Yes"/>
    <n v="2"/>
    <x v="4"/>
    <x v="2"/>
    <n v="61"/>
    <x v="1"/>
    <x v="0"/>
  </r>
  <r>
    <n v="25899"/>
    <x v="0"/>
    <x v="0"/>
    <n v="70000"/>
    <n v="2"/>
    <x v="2"/>
    <x v="2"/>
    <s v="Yes"/>
    <n v="2"/>
    <x v="4"/>
    <x v="2"/>
    <n v="53"/>
    <x v="1"/>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2"/>
    <x v="1"/>
  </r>
  <r>
    <n v="14271"/>
    <x v="0"/>
    <x v="1"/>
    <n v="30000"/>
    <n v="0"/>
    <x v="2"/>
    <x v="0"/>
    <s v="Yes"/>
    <n v="2"/>
    <x v="2"/>
    <x v="2"/>
    <n v="32"/>
    <x v="2"/>
    <x v="0"/>
  </r>
  <r>
    <n v="23041"/>
    <x v="1"/>
    <x v="0"/>
    <n v="70000"/>
    <n v="4"/>
    <x v="2"/>
    <x v="2"/>
    <s v="Yes"/>
    <n v="0"/>
    <x v="2"/>
    <x v="2"/>
    <n v="50"/>
    <x v="1"/>
    <x v="1"/>
  </r>
  <r>
    <n v="29048"/>
    <x v="1"/>
    <x v="1"/>
    <n v="110000"/>
    <n v="2"/>
    <x v="0"/>
    <x v="4"/>
    <s v="No"/>
    <n v="3"/>
    <x v="0"/>
    <x v="2"/>
    <n v="37"/>
    <x v="0"/>
    <x v="1"/>
  </r>
  <r>
    <n v="24433"/>
    <x v="0"/>
    <x v="1"/>
    <n v="70000"/>
    <n v="3"/>
    <x v="2"/>
    <x v="2"/>
    <s v="No"/>
    <n v="1"/>
    <x v="3"/>
    <x v="2"/>
    <n v="52"/>
    <x v="1"/>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3"/>
    <x v="0"/>
  </r>
  <r>
    <n v="18411"/>
    <x v="0"/>
    <x v="1"/>
    <n v="60000"/>
    <n v="2"/>
    <x v="2"/>
    <x v="2"/>
    <s v="No"/>
    <n v="2"/>
    <x v="2"/>
    <x v="2"/>
    <n v="51"/>
    <x v="1"/>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2"/>
    <x v="0"/>
  </r>
  <r>
    <n v="16773"/>
    <x v="0"/>
    <x v="1"/>
    <n v="60000"/>
    <n v="1"/>
    <x v="4"/>
    <x v="0"/>
    <s v="Yes"/>
    <n v="0"/>
    <x v="0"/>
    <x v="2"/>
    <n v="33"/>
    <x v="2"/>
    <x v="0"/>
  </r>
  <r>
    <n v="19143"/>
    <x v="1"/>
    <x v="0"/>
    <n v="80000"/>
    <n v="3"/>
    <x v="0"/>
    <x v="0"/>
    <s v="Yes"/>
    <n v="2"/>
    <x v="1"/>
    <x v="2"/>
    <n v="41"/>
    <x v="0"/>
    <x v="1"/>
  </r>
  <r>
    <n v="23882"/>
    <x v="1"/>
    <x v="0"/>
    <n v="80000"/>
    <n v="3"/>
    <x v="4"/>
    <x v="2"/>
    <s v="Yes"/>
    <n v="0"/>
    <x v="0"/>
    <x v="2"/>
    <n v="37"/>
    <x v="0"/>
    <x v="1"/>
  </r>
  <r>
    <n v="11233"/>
    <x v="0"/>
    <x v="1"/>
    <n v="70000"/>
    <n v="4"/>
    <x v="1"/>
    <x v="2"/>
    <s v="Yes"/>
    <n v="2"/>
    <x v="4"/>
    <x v="2"/>
    <n v="53"/>
    <x v="1"/>
    <x v="0"/>
  </r>
  <r>
    <n v="12056"/>
    <x v="0"/>
    <x v="1"/>
    <n v="120000"/>
    <n v="2"/>
    <x v="4"/>
    <x v="4"/>
    <s v="Yes"/>
    <n v="3"/>
    <x v="2"/>
    <x v="2"/>
    <n v="64"/>
    <x v="1"/>
    <x v="0"/>
  </r>
  <r>
    <n v="15555"/>
    <x v="0"/>
    <x v="0"/>
    <n v="60000"/>
    <n v="1"/>
    <x v="1"/>
    <x v="0"/>
    <s v="Yes"/>
    <n v="1"/>
    <x v="1"/>
    <x v="2"/>
    <n v="45"/>
    <x v="1"/>
    <x v="1"/>
  </r>
  <r>
    <n v="18423"/>
    <x v="1"/>
    <x v="1"/>
    <n v="80000"/>
    <n v="2"/>
    <x v="3"/>
    <x v="0"/>
    <s v="No"/>
    <n v="2"/>
    <x v="3"/>
    <x v="2"/>
    <n v="52"/>
    <x v="1"/>
    <x v="0"/>
  </r>
  <r>
    <n v="22743"/>
    <x v="0"/>
    <x v="0"/>
    <n v="40000"/>
    <n v="5"/>
    <x v="2"/>
    <x v="2"/>
    <s v="Yes"/>
    <n v="2"/>
    <x v="4"/>
    <x v="2"/>
    <n v="60"/>
    <x v="1"/>
    <x v="0"/>
  </r>
  <r>
    <n v="25343"/>
    <x v="1"/>
    <x v="0"/>
    <n v="20000"/>
    <n v="3"/>
    <x v="3"/>
    <x v="1"/>
    <s v="Yes"/>
    <n v="2"/>
    <x v="3"/>
    <x v="2"/>
    <n v="50"/>
    <x v="1"/>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3"/>
    <x v="0"/>
  </r>
  <r>
    <n v="16751"/>
    <x v="0"/>
    <x v="1"/>
    <n v="60000"/>
    <n v="0"/>
    <x v="1"/>
    <x v="0"/>
    <s v="Yes"/>
    <n v="1"/>
    <x v="2"/>
    <x v="2"/>
    <n v="32"/>
    <x v="2"/>
    <x v="1"/>
  </r>
  <r>
    <n v="21613"/>
    <x v="1"/>
    <x v="1"/>
    <n v="50000"/>
    <n v="2"/>
    <x v="0"/>
    <x v="0"/>
    <s v="No"/>
    <n v="1"/>
    <x v="0"/>
    <x v="2"/>
    <n v="39"/>
    <x v="0"/>
    <x v="1"/>
  </r>
  <r>
    <n v="24801"/>
    <x v="1"/>
    <x v="1"/>
    <n v="60000"/>
    <n v="1"/>
    <x v="4"/>
    <x v="2"/>
    <s v="Yes"/>
    <n v="0"/>
    <x v="1"/>
    <x v="2"/>
    <n v="35"/>
    <x v="0"/>
    <x v="1"/>
  </r>
  <r>
    <n v="17519"/>
    <x v="0"/>
    <x v="0"/>
    <n v="60000"/>
    <n v="0"/>
    <x v="1"/>
    <x v="2"/>
    <s v="Yes"/>
    <n v="2"/>
    <x v="2"/>
    <x v="2"/>
    <n v="32"/>
    <x v="2"/>
    <x v="0"/>
  </r>
  <r>
    <n v="18347"/>
    <x v="1"/>
    <x v="0"/>
    <n v="30000"/>
    <n v="0"/>
    <x v="1"/>
    <x v="0"/>
    <s v="No"/>
    <n v="1"/>
    <x v="3"/>
    <x v="2"/>
    <n v="31"/>
    <x v="2"/>
    <x v="0"/>
  </r>
  <r>
    <n v="29052"/>
    <x v="1"/>
    <x v="1"/>
    <n v="40000"/>
    <n v="0"/>
    <x v="1"/>
    <x v="0"/>
    <s v="Yes"/>
    <n v="1"/>
    <x v="2"/>
    <x v="2"/>
    <n v="27"/>
    <x v="2"/>
    <x v="0"/>
  </r>
  <r>
    <n v="11745"/>
    <x v="0"/>
    <x v="0"/>
    <n v="60000"/>
    <n v="1"/>
    <x v="0"/>
    <x v="2"/>
    <s v="Yes"/>
    <n v="1"/>
    <x v="0"/>
    <x v="2"/>
    <n v="47"/>
    <x v="1"/>
    <x v="1"/>
  </r>
  <r>
    <n v="19147"/>
    <x v="0"/>
    <x v="1"/>
    <n v="40000"/>
    <n v="0"/>
    <x v="0"/>
    <x v="2"/>
    <s v="No"/>
    <n v="1"/>
    <x v="0"/>
    <x v="2"/>
    <n v="42"/>
    <x v="0"/>
    <x v="0"/>
  </r>
  <r>
    <n v="19217"/>
    <x v="0"/>
    <x v="1"/>
    <n v="30000"/>
    <n v="2"/>
    <x v="2"/>
    <x v="0"/>
    <s v="Yes"/>
    <n v="2"/>
    <x v="3"/>
    <x v="2"/>
    <n v="49"/>
    <x v="1"/>
    <x v="0"/>
  </r>
  <r>
    <n v="15839"/>
    <x v="1"/>
    <x v="1"/>
    <n v="30000"/>
    <n v="0"/>
    <x v="1"/>
    <x v="0"/>
    <s v="Yes"/>
    <n v="1"/>
    <x v="2"/>
    <x v="2"/>
    <n v="32"/>
    <x v="2"/>
    <x v="0"/>
  </r>
  <r>
    <n v="13714"/>
    <x v="0"/>
    <x v="0"/>
    <n v="20000"/>
    <n v="2"/>
    <x v="2"/>
    <x v="3"/>
    <s v="No"/>
    <n v="2"/>
    <x v="3"/>
    <x v="2"/>
    <n v="53"/>
    <x v="1"/>
    <x v="1"/>
  </r>
  <r>
    <n v="22330"/>
    <x v="0"/>
    <x v="1"/>
    <n v="50000"/>
    <n v="0"/>
    <x v="4"/>
    <x v="0"/>
    <s v="Yes"/>
    <n v="0"/>
    <x v="3"/>
    <x v="2"/>
    <n v="32"/>
    <x v="2"/>
    <x v="1"/>
  </r>
  <r>
    <n v="18783"/>
    <x v="1"/>
    <x v="1"/>
    <n v="80000"/>
    <n v="0"/>
    <x v="0"/>
    <x v="4"/>
    <s v="No"/>
    <n v="1"/>
    <x v="0"/>
    <x v="2"/>
    <n v="38"/>
    <x v="0"/>
    <x v="1"/>
  </r>
  <r>
    <n v="25041"/>
    <x v="1"/>
    <x v="1"/>
    <n v="40000"/>
    <n v="0"/>
    <x v="2"/>
    <x v="0"/>
    <s v="Yes"/>
    <n v="2"/>
    <x v="2"/>
    <x v="2"/>
    <n v="31"/>
    <x v="2"/>
    <x v="0"/>
  </r>
  <r>
    <n v="22046"/>
    <x v="1"/>
    <x v="0"/>
    <n v="80000"/>
    <n v="0"/>
    <x v="0"/>
    <x v="4"/>
    <s v="No"/>
    <n v="1"/>
    <x v="0"/>
    <x v="2"/>
    <n v="38"/>
    <x v="0"/>
    <x v="1"/>
  </r>
  <r>
    <n v="28052"/>
    <x v="0"/>
    <x v="1"/>
    <n v="60000"/>
    <n v="2"/>
    <x v="2"/>
    <x v="2"/>
    <s v="Yes"/>
    <n v="2"/>
    <x v="4"/>
    <x v="2"/>
    <n v="55"/>
    <x v="1"/>
    <x v="0"/>
  </r>
  <r>
    <n v="26693"/>
    <x v="0"/>
    <x v="1"/>
    <n v="70000"/>
    <n v="3"/>
    <x v="1"/>
    <x v="2"/>
    <s v="Yes"/>
    <n v="1"/>
    <x v="2"/>
    <x v="2"/>
    <n v="49"/>
    <x v="1"/>
    <x v="0"/>
  </r>
  <r>
    <n v="24955"/>
    <x v="1"/>
    <x v="1"/>
    <n v="30000"/>
    <n v="5"/>
    <x v="3"/>
    <x v="0"/>
    <s v="Yes"/>
    <n v="3"/>
    <x v="4"/>
    <x v="2"/>
    <n v="60"/>
    <x v="1"/>
    <x v="1"/>
  </r>
  <r>
    <n v="26065"/>
    <x v="1"/>
    <x v="0"/>
    <n v="110000"/>
    <n v="3"/>
    <x v="0"/>
    <x v="4"/>
    <s v="No"/>
    <n v="4"/>
    <x v="3"/>
    <x v="2"/>
    <n v="42"/>
    <x v="0"/>
    <x v="0"/>
  </r>
  <r>
    <n v="13942"/>
    <x v="0"/>
    <x v="1"/>
    <n v="60000"/>
    <n v="1"/>
    <x v="1"/>
    <x v="0"/>
    <s v="Yes"/>
    <n v="1"/>
    <x v="0"/>
    <x v="2"/>
    <n v="46"/>
    <x v="1"/>
    <x v="0"/>
  </r>
  <r>
    <n v="11219"/>
    <x v="0"/>
    <x v="1"/>
    <n v="60000"/>
    <n v="2"/>
    <x v="2"/>
    <x v="2"/>
    <s v="Yes"/>
    <n v="2"/>
    <x v="4"/>
    <x v="2"/>
    <n v="55"/>
    <x v="1"/>
    <x v="0"/>
  </r>
  <r>
    <n v="22118"/>
    <x v="1"/>
    <x v="0"/>
    <n v="70000"/>
    <n v="3"/>
    <x v="4"/>
    <x v="4"/>
    <s v="Yes"/>
    <n v="2"/>
    <x v="2"/>
    <x v="2"/>
    <n v="53"/>
    <x v="1"/>
    <x v="1"/>
  </r>
  <r>
    <n v="23197"/>
    <x v="0"/>
    <x v="1"/>
    <n v="50000"/>
    <n v="3"/>
    <x v="0"/>
    <x v="0"/>
    <s v="Yes"/>
    <n v="2"/>
    <x v="1"/>
    <x v="2"/>
    <n v="40"/>
    <x v="0"/>
    <x v="0"/>
  </r>
  <r>
    <n v="14883"/>
    <x v="0"/>
    <x v="0"/>
    <n v="30000"/>
    <n v="1"/>
    <x v="0"/>
    <x v="0"/>
    <s v="Yes"/>
    <n v="1"/>
    <x v="2"/>
    <x v="2"/>
    <n v="53"/>
    <x v="1"/>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3"/>
    <x v="0"/>
  </r>
  <r>
    <n v="24416"/>
    <x v="0"/>
    <x v="1"/>
    <n v="90000"/>
    <n v="4"/>
    <x v="2"/>
    <x v="2"/>
    <s v="Yes"/>
    <n v="2"/>
    <x v="3"/>
    <x v="2"/>
    <n v="45"/>
    <x v="1"/>
    <x v="0"/>
  </r>
  <r>
    <n v="28066"/>
    <x v="0"/>
    <x v="1"/>
    <n v="80000"/>
    <n v="2"/>
    <x v="4"/>
    <x v="2"/>
    <s v="Yes"/>
    <n v="0"/>
    <x v="0"/>
    <x v="2"/>
    <n v="37"/>
    <x v="0"/>
    <x v="1"/>
  </r>
  <r>
    <n v="11275"/>
    <x v="0"/>
    <x v="0"/>
    <n v="80000"/>
    <n v="4"/>
    <x v="4"/>
    <x v="4"/>
    <s v="Yes"/>
    <n v="2"/>
    <x v="0"/>
    <x v="2"/>
    <n v="72"/>
    <x v="3"/>
    <x v="1"/>
  </r>
  <r>
    <n v="14872"/>
    <x v="0"/>
    <x v="1"/>
    <n v="30000"/>
    <n v="0"/>
    <x v="4"/>
    <x v="0"/>
    <s v="Yes"/>
    <n v="0"/>
    <x v="0"/>
    <x v="2"/>
    <n v="32"/>
    <x v="2"/>
    <x v="0"/>
  </r>
  <r>
    <n v="16151"/>
    <x v="0"/>
    <x v="0"/>
    <n v="60000"/>
    <n v="1"/>
    <x v="0"/>
    <x v="2"/>
    <s v="Yes"/>
    <n v="1"/>
    <x v="1"/>
    <x v="2"/>
    <n v="48"/>
    <x v="1"/>
    <x v="1"/>
  </r>
  <r>
    <n v="19731"/>
    <x v="0"/>
    <x v="1"/>
    <n v="80000"/>
    <n v="4"/>
    <x v="4"/>
    <x v="4"/>
    <s v="Yes"/>
    <n v="2"/>
    <x v="2"/>
    <x v="2"/>
    <n v="68"/>
    <x v="3"/>
    <x v="0"/>
  </r>
  <r>
    <n v="23801"/>
    <x v="0"/>
    <x v="0"/>
    <n v="20000"/>
    <n v="2"/>
    <x v="3"/>
    <x v="1"/>
    <s v="Yes"/>
    <n v="2"/>
    <x v="0"/>
    <x v="2"/>
    <n v="49"/>
    <x v="1"/>
    <x v="0"/>
  </r>
  <r>
    <n v="11807"/>
    <x v="0"/>
    <x v="1"/>
    <n v="70000"/>
    <n v="3"/>
    <x v="4"/>
    <x v="2"/>
    <s v="Yes"/>
    <n v="0"/>
    <x v="1"/>
    <x v="2"/>
    <n v="34"/>
    <x v="2"/>
    <x v="0"/>
  </r>
  <r>
    <n v="11622"/>
    <x v="0"/>
    <x v="1"/>
    <n v="50000"/>
    <n v="0"/>
    <x v="4"/>
    <x v="0"/>
    <s v="Yes"/>
    <n v="0"/>
    <x v="0"/>
    <x v="2"/>
    <n v="32"/>
    <x v="2"/>
    <x v="0"/>
  </r>
  <r>
    <n v="26597"/>
    <x v="1"/>
    <x v="0"/>
    <n v="60000"/>
    <n v="4"/>
    <x v="0"/>
    <x v="0"/>
    <s v="No"/>
    <n v="2"/>
    <x v="0"/>
    <x v="2"/>
    <n v="42"/>
    <x v="0"/>
    <x v="0"/>
  </r>
  <r>
    <n v="27074"/>
    <x v="0"/>
    <x v="0"/>
    <n v="70000"/>
    <n v="1"/>
    <x v="4"/>
    <x v="0"/>
    <s v="Yes"/>
    <n v="0"/>
    <x v="0"/>
    <x v="2"/>
    <n v="35"/>
    <x v="0"/>
    <x v="1"/>
  </r>
  <r>
    <n v="19228"/>
    <x v="0"/>
    <x v="0"/>
    <n v="40000"/>
    <n v="2"/>
    <x v="1"/>
    <x v="1"/>
    <s v="Yes"/>
    <n v="1"/>
    <x v="0"/>
    <x v="2"/>
    <n v="48"/>
    <x v="1"/>
    <x v="0"/>
  </r>
  <r>
    <n v="13415"/>
    <x v="1"/>
    <x v="1"/>
    <n v="100000"/>
    <n v="1"/>
    <x v="4"/>
    <x v="4"/>
    <s v="Yes"/>
    <n v="3"/>
    <x v="1"/>
    <x v="2"/>
    <n v="73"/>
    <x v="3"/>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2"/>
    <x v="1"/>
  </r>
  <r>
    <n v="12029"/>
    <x v="0"/>
    <x v="1"/>
    <n v="30000"/>
    <n v="0"/>
    <x v="3"/>
    <x v="1"/>
    <s v="No"/>
    <n v="2"/>
    <x v="0"/>
    <x v="2"/>
    <n v="28"/>
    <x v="2"/>
    <x v="0"/>
  </r>
  <r>
    <n v="18066"/>
    <x v="1"/>
    <x v="1"/>
    <n v="70000"/>
    <n v="5"/>
    <x v="0"/>
    <x v="4"/>
    <s v="Yes"/>
    <n v="3"/>
    <x v="4"/>
    <x v="2"/>
    <n v="60"/>
    <x v="1"/>
    <x v="1"/>
  </r>
  <r>
    <n v="28192"/>
    <x v="0"/>
    <x v="0"/>
    <n v="70000"/>
    <n v="5"/>
    <x v="4"/>
    <x v="2"/>
    <s v="Yes"/>
    <n v="3"/>
    <x v="4"/>
    <x v="2"/>
    <n v="46"/>
    <x v="1"/>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3"/>
    <x v="0"/>
  </r>
  <r>
    <n v="26305"/>
    <x v="1"/>
    <x v="0"/>
    <n v="60000"/>
    <n v="2"/>
    <x v="0"/>
    <x v="0"/>
    <s v="No"/>
    <n v="0"/>
    <x v="0"/>
    <x v="2"/>
    <n v="36"/>
    <x v="0"/>
    <x v="1"/>
  </r>
  <r>
    <n v="22050"/>
    <x v="1"/>
    <x v="1"/>
    <n v="90000"/>
    <n v="4"/>
    <x v="0"/>
    <x v="4"/>
    <s v="Yes"/>
    <n v="1"/>
    <x v="3"/>
    <x v="2"/>
    <n v="38"/>
    <x v="0"/>
    <x v="1"/>
  </r>
  <r>
    <n v="25394"/>
    <x v="0"/>
    <x v="1"/>
    <n v="60000"/>
    <n v="1"/>
    <x v="4"/>
    <x v="2"/>
    <s v="Yes"/>
    <n v="0"/>
    <x v="1"/>
    <x v="2"/>
    <n v="34"/>
    <x v="2"/>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1"/>
    <x v="0"/>
  </r>
  <r>
    <n v="13337"/>
    <x v="0"/>
    <x v="0"/>
    <n v="80000"/>
    <n v="5"/>
    <x v="0"/>
    <x v="4"/>
    <s v="Yes"/>
    <n v="2"/>
    <x v="2"/>
    <x v="2"/>
    <n v="64"/>
    <x v="1"/>
    <x v="0"/>
  </r>
  <r>
    <n v="27190"/>
    <x v="0"/>
    <x v="0"/>
    <n v="40000"/>
    <n v="3"/>
    <x v="1"/>
    <x v="1"/>
    <s v="Yes"/>
    <n v="1"/>
    <x v="3"/>
    <x v="2"/>
    <n v="32"/>
    <x v="2"/>
    <x v="0"/>
  </r>
  <r>
    <n v="28657"/>
    <x v="1"/>
    <x v="1"/>
    <n v="60000"/>
    <n v="2"/>
    <x v="0"/>
    <x v="0"/>
    <s v="Yes"/>
    <n v="0"/>
    <x v="1"/>
    <x v="2"/>
    <n v="36"/>
    <x v="0"/>
    <x v="1"/>
  </r>
  <r>
    <n v="21713"/>
    <x v="1"/>
    <x v="1"/>
    <n v="80000"/>
    <n v="5"/>
    <x v="4"/>
    <x v="0"/>
    <s v="No"/>
    <n v="0"/>
    <x v="0"/>
    <x v="2"/>
    <n v="47"/>
    <x v="1"/>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2"/>
    <x v="1"/>
  </r>
  <r>
    <n v="21451"/>
    <x v="0"/>
    <x v="0"/>
    <n v="40000"/>
    <n v="4"/>
    <x v="2"/>
    <x v="2"/>
    <s v="Yes"/>
    <n v="2"/>
    <x v="4"/>
    <x v="2"/>
    <n v="61"/>
    <x v="1"/>
    <x v="0"/>
  </r>
  <r>
    <n v="20754"/>
    <x v="0"/>
    <x v="1"/>
    <n v="30000"/>
    <n v="2"/>
    <x v="2"/>
    <x v="0"/>
    <s v="Yes"/>
    <n v="2"/>
    <x v="3"/>
    <x v="2"/>
    <n v="51"/>
    <x v="1"/>
    <x v="0"/>
  </r>
  <r>
    <n v="12153"/>
    <x v="1"/>
    <x v="0"/>
    <n v="70000"/>
    <n v="3"/>
    <x v="1"/>
    <x v="2"/>
    <s v="Yes"/>
    <n v="1"/>
    <x v="2"/>
    <x v="2"/>
    <n v="49"/>
    <x v="1"/>
    <x v="1"/>
  </r>
  <r>
    <n v="16895"/>
    <x v="0"/>
    <x v="0"/>
    <n v="40000"/>
    <n v="3"/>
    <x v="1"/>
    <x v="2"/>
    <s v="No"/>
    <n v="2"/>
    <x v="3"/>
    <x v="2"/>
    <n v="54"/>
    <x v="1"/>
    <x v="1"/>
  </r>
  <r>
    <n v="26728"/>
    <x v="1"/>
    <x v="1"/>
    <n v="70000"/>
    <n v="3"/>
    <x v="4"/>
    <x v="4"/>
    <s v="No"/>
    <n v="2"/>
    <x v="3"/>
    <x v="2"/>
    <n v="53"/>
    <x v="1"/>
    <x v="1"/>
  </r>
  <r>
    <n v="11090"/>
    <x v="1"/>
    <x v="1"/>
    <n v="90000"/>
    <n v="2"/>
    <x v="1"/>
    <x v="2"/>
    <s v="Yes"/>
    <n v="1"/>
    <x v="1"/>
    <x v="2"/>
    <n v="48"/>
    <x v="1"/>
    <x v="1"/>
  </r>
  <r>
    <n v="15862"/>
    <x v="1"/>
    <x v="0"/>
    <n v="50000"/>
    <n v="0"/>
    <x v="4"/>
    <x v="0"/>
    <s v="Yes"/>
    <n v="0"/>
    <x v="3"/>
    <x v="2"/>
    <n v="33"/>
    <x v="2"/>
    <x v="1"/>
  </r>
  <r>
    <n v="26495"/>
    <x v="1"/>
    <x v="0"/>
    <n v="40000"/>
    <n v="2"/>
    <x v="2"/>
    <x v="2"/>
    <s v="Yes"/>
    <n v="2"/>
    <x v="4"/>
    <x v="2"/>
    <n v="57"/>
    <x v="1"/>
    <x v="0"/>
  </r>
  <r>
    <n v="11823"/>
    <x v="0"/>
    <x v="0"/>
    <n v="70000"/>
    <n v="0"/>
    <x v="4"/>
    <x v="2"/>
    <s v="Yes"/>
    <n v="0"/>
    <x v="1"/>
    <x v="2"/>
    <n v="39"/>
    <x v="0"/>
    <x v="0"/>
  </r>
  <r>
    <n v="23449"/>
    <x v="0"/>
    <x v="1"/>
    <n v="60000"/>
    <n v="2"/>
    <x v="2"/>
    <x v="2"/>
    <s v="Yes"/>
    <n v="2"/>
    <x v="2"/>
    <x v="2"/>
    <n v="48"/>
    <x v="1"/>
    <x v="0"/>
  </r>
  <r>
    <n v="23459"/>
    <x v="0"/>
    <x v="1"/>
    <n v="60000"/>
    <n v="2"/>
    <x v="2"/>
    <x v="2"/>
    <s v="Yes"/>
    <n v="2"/>
    <x v="2"/>
    <x v="2"/>
    <n v="50"/>
    <x v="1"/>
    <x v="0"/>
  </r>
  <r>
    <n v="19543"/>
    <x v="0"/>
    <x v="1"/>
    <n v="70000"/>
    <n v="5"/>
    <x v="4"/>
    <x v="2"/>
    <s v="No"/>
    <n v="3"/>
    <x v="4"/>
    <x v="2"/>
    <n v="47"/>
    <x v="1"/>
    <x v="0"/>
  </r>
  <r>
    <n v="14914"/>
    <x v="0"/>
    <x v="0"/>
    <n v="40000"/>
    <n v="1"/>
    <x v="1"/>
    <x v="1"/>
    <s v="Yes"/>
    <n v="1"/>
    <x v="3"/>
    <x v="2"/>
    <n v="49"/>
    <x v="1"/>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1"/>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1"/>
    <x v="0"/>
  </r>
  <r>
    <n v="15292"/>
    <x v="1"/>
    <x v="0"/>
    <n v="60000"/>
    <n v="1"/>
    <x v="4"/>
    <x v="0"/>
    <s v="Yes"/>
    <n v="0"/>
    <x v="3"/>
    <x v="2"/>
    <n v="35"/>
    <x v="0"/>
    <x v="0"/>
  </r>
  <r>
    <n v="21587"/>
    <x v="0"/>
    <x v="0"/>
    <n v="60000"/>
    <n v="1"/>
    <x v="4"/>
    <x v="0"/>
    <s v="Yes"/>
    <n v="0"/>
    <x v="1"/>
    <x v="2"/>
    <n v="34"/>
    <x v="2"/>
    <x v="1"/>
  </r>
  <r>
    <n v="23513"/>
    <x v="0"/>
    <x v="0"/>
    <n v="40000"/>
    <n v="3"/>
    <x v="1"/>
    <x v="2"/>
    <s v="Yes"/>
    <n v="2"/>
    <x v="2"/>
    <x v="2"/>
    <n v="54"/>
    <x v="1"/>
    <x v="0"/>
  </r>
  <r>
    <n v="24322"/>
    <x v="0"/>
    <x v="0"/>
    <n v="60000"/>
    <n v="4"/>
    <x v="0"/>
    <x v="0"/>
    <s v="No"/>
    <n v="2"/>
    <x v="0"/>
    <x v="2"/>
    <n v="42"/>
    <x v="0"/>
    <x v="0"/>
  </r>
  <r>
    <n v="26298"/>
    <x v="0"/>
    <x v="0"/>
    <n v="50000"/>
    <n v="1"/>
    <x v="0"/>
    <x v="0"/>
    <s v="Yes"/>
    <n v="0"/>
    <x v="1"/>
    <x v="2"/>
    <n v="34"/>
    <x v="2"/>
    <x v="1"/>
  </r>
  <r>
    <n v="25419"/>
    <x v="1"/>
    <x v="1"/>
    <n v="50000"/>
    <n v="2"/>
    <x v="0"/>
    <x v="0"/>
    <s v="No"/>
    <n v="1"/>
    <x v="0"/>
    <x v="2"/>
    <n v="38"/>
    <x v="0"/>
    <x v="1"/>
  </r>
  <r>
    <n v="13343"/>
    <x v="0"/>
    <x v="0"/>
    <n v="90000"/>
    <n v="5"/>
    <x v="0"/>
    <x v="4"/>
    <s v="Yes"/>
    <n v="2"/>
    <x v="3"/>
    <x v="2"/>
    <n v="63"/>
    <x v="1"/>
    <x v="1"/>
  </r>
  <r>
    <n v="11303"/>
    <x v="1"/>
    <x v="0"/>
    <n v="90000"/>
    <n v="4"/>
    <x v="2"/>
    <x v="2"/>
    <s v="No"/>
    <n v="3"/>
    <x v="3"/>
    <x v="2"/>
    <n v="45"/>
    <x v="1"/>
    <x v="1"/>
  </r>
  <r>
    <n v="21693"/>
    <x v="1"/>
    <x v="0"/>
    <n v="60000"/>
    <n v="0"/>
    <x v="4"/>
    <x v="0"/>
    <s v="No"/>
    <n v="0"/>
    <x v="0"/>
    <x v="2"/>
    <n v="40"/>
    <x v="0"/>
    <x v="0"/>
  </r>
  <r>
    <n v="28056"/>
    <x v="0"/>
    <x v="1"/>
    <n v="70000"/>
    <n v="2"/>
    <x v="3"/>
    <x v="0"/>
    <s v="Yes"/>
    <n v="2"/>
    <x v="4"/>
    <x v="2"/>
    <n v="53"/>
    <x v="1"/>
    <x v="0"/>
  </r>
  <r>
    <n v="11788"/>
    <x v="1"/>
    <x v="0"/>
    <n v="70000"/>
    <n v="1"/>
    <x v="4"/>
    <x v="2"/>
    <s v="Yes"/>
    <n v="0"/>
    <x v="1"/>
    <x v="2"/>
    <n v="34"/>
    <x v="2"/>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1"/>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1"/>
    <x v="1"/>
  </r>
  <r>
    <n v="20196"/>
    <x v="0"/>
    <x v="1"/>
    <n v="60000"/>
    <n v="1"/>
    <x v="1"/>
    <x v="0"/>
    <s v="Yes"/>
    <n v="1"/>
    <x v="1"/>
    <x v="2"/>
    <n v="45"/>
    <x v="1"/>
    <x v="1"/>
  </r>
  <r>
    <n v="23491"/>
    <x v="1"/>
    <x v="1"/>
    <n v="100000"/>
    <n v="0"/>
    <x v="1"/>
    <x v="2"/>
    <s v="No"/>
    <n v="4"/>
    <x v="3"/>
    <x v="2"/>
    <n v="45"/>
    <x v="1"/>
    <x v="0"/>
  </r>
  <r>
    <n v="16651"/>
    <x v="0"/>
    <x v="0"/>
    <n v="120000"/>
    <n v="2"/>
    <x v="0"/>
    <x v="4"/>
    <s v="Yes"/>
    <n v="3"/>
    <x v="2"/>
    <x v="2"/>
    <n v="62"/>
    <x v="1"/>
    <x v="0"/>
  </r>
  <r>
    <n v="16813"/>
    <x v="0"/>
    <x v="1"/>
    <n v="60000"/>
    <n v="2"/>
    <x v="1"/>
    <x v="2"/>
    <s v="Yes"/>
    <n v="2"/>
    <x v="4"/>
    <x v="2"/>
    <n v="55"/>
    <x v="1"/>
    <x v="0"/>
  </r>
  <r>
    <n v="16007"/>
    <x v="0"/>
    <x v="0"/>
    <n v="90000"/>
    <n v="5"/>
    <x v="0"/>
    <x v="4"/>
    <s v="Yes"/>
    <n v="2"/>
    <x v="3"/>
    <x v="2"/>
    <n v="66"/>
    <x v="3"/>
    <x v="1"/>
  </r>
  <r>
    <n v="27434"/>
    <x v="1"/>
    <x v="1"/>
    <n v="70000"/>
    <n v="4"/>
    <x v="1"/>
    <x v="2"/>
    <s v="Yes"/>
    <n v="1"/>
    <x v="4"/>
    <x v="2"/>
    <n v="56"/>
    <x v="1"/>
    <x v="0"/>
  </r>
  <r>
    <n v="27756"/>
    <x v="1"/>
    <x v="0"/>
    <n v="50000"/>
    <n v="3"/>
    <x v="0"/>
    <x v="0"/>
    <s v="No"/>
    <n v="1"/>
    <x v="0"/>
    <x v="2"/>
    <n v="40"/>
    <x v="0"/>
    <x v="0"/>
  </r>
  <r>
    <n v="23818"/>
    <x v="0"/>
    <x v="0"/>
    <n v="50000"/>
    <n v="0"/>
    <x v="4"/>
    <x v="0"/>
    <s v="Yes"/>
    <n v="0"/>
    <x v="3"/>
    <x v="2"/>
    <n v="33"/>
    <x v="2"/>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2"/>
    <x v="0"/>
  </r>
  <r>
    <n v="12192"/>
    <x v="1"/>
    <x v="0"/>
    <n v="60000"/>
    <n v="2"/>
    <x v="3"/>
    <x v="0"/>
    <s v="No"/>
    <n v="2"/>
    <x v="3"/>
    <x v="2"/>
    <n v="51"/>
    <x v="1"/>
    <x v="0"/>
  </r>
  <r>
    <n v="14887"/>
    <x v="0"/>
    <x v="0"/>
    <n v="30000"/>
    <n v="1"/>
    <x v="2"/>
    <x v="1"/>
    <s v="Yes"/>
    <n v="1"/>
    <x v="2"/>
    <x v="2"/>
    <n v="52"/>
    <x v="1"/>
    <x v="0"/>
  </r>
  <r>
    <n v="11734"/>
    <x v="0"/>
    <x v="1"/>
    <n v="60000"/>
    <n v="1"/>
    <x v="1"/>
    <x v="0"/>
    <s v="No"/>
    <n v="1"/>
    <x v="0"/>
    <x v="2"/>
    <n v="47"/>
    <x v="1"/>
    <x v="0"/>
  </r>
  <r>
    <n v="17462"/>
    <x v="0"/>
    <x v="1"/>
    <n v="70000"/>
    <n v="3"/>
    <x v="4"/>
    <x v="4"/>
    <s v="Yes"/>
    <n v="2"/>
    <x v="2"/>
    <x v="2"/>
    <n v="53"/>
    <x v="1"/>
    <x v="1"/>
  </r>
  <r>
    <n v="20659"/>
    <x v="0"/>
    <x v="1"/>
    <n v="70000"/>
    <n v="3"/>
    <x v="4"/>
    <x v="2"/>
    <s v="Yes"/>
    <n v="0"/>
    <x v="0"/>
    <x v="2"/>
    <n v="35"/>
    <x v="0"/>
    <x v="1"/>
  </r>
  <r>
    <n v="28004"/>
    <x v="0"/>
    <x v="0"/>
    <n v="60000"/>
    <n v="3"/>
    <x v="0"/>
    <x v="4"/>
    <s v="Yes"/>
    <n v="2"/>
    <x v="4"/>
    <x v="2"/>
    <n v="66"/>
    <x v="3"/>
    <x v="0"/>
  </r>
  <r>
    <n v="19741"/>
    <x v="1"/>
    <x v="0"/>
    <n v="80000"/>
    <n v="4"/>
    <x v="4"/>
    <x v="4"/>
    <s v="Yes"/>
    <n v="2"/>
    <x v="2"/>
    <x v="2"/>
    <n v="65"/>
    <x v="3"/>
    <x v="0"/>
  </r>
  <r>
    <n v="17450"/>
    <x v="0"/>
    <x v="1"/>
    <n v="80000"/>
    <n v="5"/>
    <x v="1"/>
    <x v="2"/>
    <s v="Yes"/>
    <n v="3"/>
    <x v="2"/>
    <x v="2"/>
    <n v="45"/>
    <x v="1"/>
    <x v="0"/>
  </r>
  <r>
    <n v="17337"/>
    <x v="1"/>
    <x v="1"/>
    <n v="40000"/>
    <n v="0"/>
    <x v="2"/>
    <x v="0"/>
    <s v="Yes"/>
    <n v="1"/>
    <x v="2"/>
    <x v="2"/>
    <n v="31"/>
    <x v="2"/>
    <x v="0"/>
  </r>
  <r>
    <n v="18594"/>
    <x v="1"/>
    <x v="0"/>
    <n v="80000"/>
    <n v="3"/>
    <x v="0"/>
    <x v="0"/>
    <s v="Yes"/>
    <n v="3"/>
    <x v="4"/>
    <x v="2"/>
    <n v="40"/>
    <x v="0"/>
    <x v="1"/>
  </r>
  <r>
    <n v="15982"/>
    <x v="0"/>
    <x v="1"/>
    <n v="110000"/>
    <n v="5"/>
    <x v="1"/>
    <x v="2"/>
    <s v="Yes"/>
    <n v="4"/>
    <x v="1"/>
    <x v="2"/>
    <n v="46"/>
    <x v="1"/>
    <x v="0"/>
  </r>
  <r>
    <n v="28625"/>
    <x v="1"/>
    <x v="1"/>
    <n v="40000"/>
    <n v="2"/>
    <x v="1"/>
    <x v="1"/>
    <s v="No"/>
    <n v="1"/>
    <x v="3"/>
    <x v="2"/>
    <n v="47"/>
    <x v="1"/>
    <x v="1"/>
  </r>
  <r>
    <n v="11269"/>
    <x v="0"/>
    <x v="1"/>
    <n v="130000"/>
    <n v="2"/>
    <x v="4"/>
    <x v="4"/>
    <s v="Yes"/>
    <n v="2"/>
    <x v="0"/>
    <x v="2"/>
    <n v="41"/>
    <x v="0"/>
    <x v="0"/>
  </r>
  <r>
    <n v="25148"/>
    <x v="0"/>
    <x v="1"/>
    <n v="60000"/>
    <n v="2"/>
    <x v="2"/>
    <x v="2"/>
    <s v="No"/>
    <n v="2"/>
    <x v="3"/>
    <x v="2"/>
    <n v="48"/>
    <x v="1"/>
    <x v="1"/>
  </r>
  <r>
    <n v="13920"/>
    <x v="1"/>
    <x v="0"/>
    <n v="50000"/>
    <n v="4"/>
    <x v="0"/>
    <x v="0"/>
    <s v="Yes"/>
    <n v="2"/>
    <x v="0"/>
    <x v="2"/>
    <n v="42"/>
    <x v="0"/>
    <x v="0"/>
  </r>
  <r>
    <n v="23704"/>
    <x v="1"/>
    <x v="1"/>
    <n v="40000"/>
    <n v="5"/>
    <x v="2"/>
    <x v="2"/>
    <s v="Yes"/>
    <n v="4"/>
    <x v="4"/>
    <x v="2"/>
    <n v="60"/>
    <x v="1"/>
    <x v="1"/>
  </r>
  <r>
    <n v="28972"/>
    <x v="1"/>
    <x v="0"/>
    <n v="60000"/>
    <n v="3"/>
    <x v="4"/>
    <x v="4"/>
    <s v="Yes"/>
    <n v="2"/>
    <x v="4"/>
    <x v="2"/>
    <n v="66"/>
    <x v="3"/>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1"/>
    <x v="1"/>
  </r>
  <r>
    <n v="11292"/>
    <x v="1"/>
    <x v="1"/>
    <n v="150000"/>
    <n v="1"/>
    <x v="1"/>
    <x v="2"/>
    <s v="No"/>
    <n v="3"/>
    <x v="0"/>
    <x v="2"/>
    <n v="44"/>
    <x v="0"/>
    <x v="1"/>
  </r>
  <r>
    <n v="13466"/>
    <x v="0"/>
    <x v="1"/>
    <n v="80000"/>
    <n v="5"/>
    <x v="1"/>
    <x v="2"/>
    <s v="Yes"/>
    <n v="3"/>
    <x v="3"/>
    <x v="2"/>
    <n v="46"/>
    <x v="1"/>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F35C83-9132-4764-A7FF-35E010E58CEF}"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B83" firstHeaderRow="1" firstDataRow="1"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x="2"/>
        <item x="1"/>
        <item x="3"/>
        <item x="0"/>
        <item t="default"/>
      </items>
    </pivotField>
    <pivotField showAll="0"/>
  </pivotFields>
  <rowFields count="1">
    <field x="2"/>
  </rowFields>
  <rowItems count="3">
    <i>
      <x/>
    </i>
    <i>
      <x v="1"/>
    </i>
    <i t="grand">
      <x/>
    </i>
  </rowItems>
  <colItems count="1">
    <i/>
  </colItems>
  <dataFields count="1">
    <dataField name="Average of Income" fld="3" subtotal="average" baseField="2" baseItem="0" numFmtId="164"/>
  </dataFields>
  <formats count="1">
    <format dxfId="0">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33E452-E71B-49FD-A4EB-AC1ABD4FC536}" name="PivotTable3" cacheId="2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0">
  <location ref="A4:D8" firstHeaderRow="1" firstDataRow="2" firstDataCol="1" rowPageCount="2" colPageCount="1"/>
  <pivotFields count="14">
    <pivotField showAll="0"/>
    <pivotField axis="axisPage" showAll="0">
      <items count="3">
        <item x="0"/>
        <item x="1"/>
        <item t="default"/>
      </items>
    </pivotField>
    <pivotField axis="axisRow" showAll="0">
      <items count="3">
        <item x="0"/>
        <item x="1"/>
        <item t="default"/>
      </items>
    </pivotField>
    <pivotField dataField="1" numFmtId="164" showAll="0"/>
    <pivotField showAll="0"/>
    <pivotField axis="axisPage"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x="2"/>
        <item x="1"/>
        <item x="3"/>
        <item x="0"/>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pageFields count="2">
    <pageField fld="1" hier="-1"/>
    <pageField fld="5" hier="-1"/>
  </pageFields>
  <dataFields count="1">
    <dataField name="Average of Income" fld="3" subtotal="average" baseField="2" baseItem="0" numFmtId="1"/>
  </dataFields>
  <formats count="1">
    <format dxfId="1">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1F81D4-73C0-4649-B88E-91975583EB00}"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B75" firstHeaderRow="1" firstDataRow="1"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x="2"/>
        <item x="1"/>
        <item x="3"/>
        <item x="0"/>
        <item t="default"/>
      </items>
    </pivotField>
    <pivotField axis="axisRow" dataField="1" showAll="0">
      <items count="3">
        <item x="0"/>
        <item x="1"/>
        <item t="default"/>
      </items>
    </pivotField>
  </pivotFields>
  <rowFields count="1">
    <field x="13"/>
  </rowFields>
  <rowItems count="3">
    <i>
      <x/>
    </i>
    <i>
      <x v="1"/>
    </i>
    <i t="grand">
      <x/>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9DCEB5-7087-467C-9483-01ED3670E535}"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7:D64" firstHeaderRow="1" firstDataRow="2" firstDataCol="1" rowPageCount="1" colPageCount="1"/>
  <pivotFields count="14">
    <pivotField showAll="0"/>
    <pivotField showAll="0">
      <items count="3">
        <item x="0"/>
        <item x="1"/>
        <item t="default"/>
      </items>
    </pivotField>
    <pivotField axis="axisPage"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items count="5">
        <item x="2"/>
        <item x="1"/>
        <item x="3"/>
        <item x="0"/>
        <item t="default"/>
      </items>
    </pivotField>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pageFields count="1">
    <pageField fld="2" hier="-1"/>
  </pageFields>
  <dataFields count="1">
    <dataField name="Average of Income" fld="3" subtotal="average" baseField="9" baseItem="0" numFmtId="164"/>
  </dataFields>
  <chartFormats count="8">
    <chartFormat chart="0" format="9" series="1">
      <pivotArea type="data" outline="0" fieldPosition="0">
        <references count="2">
          <reference field="4294967294" count="1" selected="0">
            <x v="0"/>
          </reference>
          <reference field="13" count="1" selected="0">
            <x v="1"/>
          </reference>
        </references>
      </pivotArea>
    </chartFormat>
    <chartFormat chart="0" format="10" series="1">
      <pivotArea type="data" outline="0" fieldPosition="0">
        <references count="2">
          <reference field="4294967294" count="1" selected="0">
            <x v="0"/>
          </reference>
          <reference field="13" count="1" selected="0">
            <x v="0"/>
          </reference>
        </references>
      </pivotArea>
    </chartFormat>
    <chartFormat chart="6" format="13" series="1">
      <pivotArea type="data" outline="0" fieldPosition="0">
        <references count="2">
          <reference field="4294967294" count="1" selected="0">
            <x v="0"/>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6" format="15"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6" format="16">
      <pivotArea type="data" outline="0" fieldPosition="0">
        <references count="3">
          <reference field="4294967294" count="1" selected="0">
            <x v="0"/>
          </reference>
          <reference field="9" count="1" selected="0">
            <x v="0"/>
          </reference>
          <reference field="13" count="1" selected="0">
            <x v="1"/>
          </reference>
        </references>
      </pivotArea>
    </chartFormat>
    <chartFormat chart="6" format="17">
      <pivotArea type="data" outline="0" fieldPosition="0">
        <references count="3">
          <reference field="4294967294" count="1" selected="0">
            <x v="0"/>
          </reference>
          <reference field="9"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A98703-DD46-4989-A86D-5D5B24575E34}"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B92" firstHeaderRow="1" firstDataRow="1"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x="2"/>
        <item x="1"/>
        <item x="3"/>
        <item x="0"/>
        <item t="default"/>
      </items>
    </pivotField>
    <pivotField dataField="1" showAll="0"/>
  </pivotFields>
  <rowFields count="1">
    <field x="6"/>
  </rowFields>
  <rowItems count="6">
    <i>
      <x/>
    </i>
    <i>
      <x v="1"/>
    </i>
    <i>
      <x v="2"/>
    </i>
    <i>
      <x v="3"/>
    </i>
    <i>
      <x v="4"/>
    </i>
    <i t="grand">
      <x/>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99213-E489-48ED-8FB7-3F7A8E30C277}"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0:D46" firstHeaderRow="1" firstDataRow="2" firstDataCol="1" rowPageCount="1" colPageCount="1"/>
  <pivotFields count="14">
    <pivotField showAll="0"/>
    <pivotField showAll="0">
      <items count="3">
        <item x="0"/>
        <item x="1"/>
        <item t="default"/>
      </items>
    </pivotField>
    <pivotField axis="axisPage"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5">
        <item x="2"/>
        <item x="0"/>
        <item x="1"/>
        <item x="3"/>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pageFields count="1">
    <pageField fld="2" hier="-1"/>
  </pageField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2" format="6">
      <pivotArea type="data" outline="0" fieldPosition="0">
        <references count="3">
          <reference field="4294967294" count="1" selected="0">
            <x v="0"/>
          </reference>
          <reference field="12" count="1" selected="0">
            <x v="1"/>
          </reference>
          <reference field="13" count="1" selected="0">
            <x v="1"/>
          </reference>
        </references>
      </pivotArea>
    </chartFormat>
    <chartFormat chart="12" format="7">
      <pivotArea type="data" outline="0" fieldPosition="0">
        <references count="3">
          <reference field="4294967294" count="1" selected="0">
            <x v="0"/>
          </reference>
          <reference field="12" count="1" selected="0">
            <x v="2"/>
          </reference>
          <reference field="13" count="1" selected="0">
            <x v="1"/>
          </reference>
        </references>
      </pivotArea>
    </chartFormat>
    <chartFormat chart="12" format="8">
      <pivotArea type="data" outline="0" fieldPosition="0">
        <references count="3">
          <reference field="4294967294" count="1" selected="0">
            <x v="0"/>
          </reference>
          <reference field="12" count="1" selected="0">
            <x v="3"/>
          </reference>
          <reference field="13" count="1" selected="0">
            <x v="1"/>
          </reference>
        </references>
      </pivotArea>
    </chartFormat>
    <chartFormat chart="12" format="9">
      <pivotArea type="data" outline="0" fieldPosition="0">
        <references count="3">
          <reference field="4294967294" count="1" selected="0">
            <x v="0"/>
          </reference>
          <reference field="12" count="1" selected="0">
            <x v="0"/>
          </reference>
          <reference field="13" count="1" selected="0">
            <x v="1"/>
          </reference>
        </references>
      </pivotArea>
    </chartFormat>
    <chartFormat chart="12"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2" format="11">
      <pivotArea type="data" outline="0" fieldPosition="0">
        <references count="3">
          <reference field="4294967294" count="1" selected="0">
            <x v="0"/>
          </reference>
          <reference field="12" count="1" selected="0">
            <x v="2"/>
          </reference>
          <reference field="13" count="1" selected="0">
            <x v="0"/>
          </reference>
        </references>
      </pivotArea>
    </chartFormat>
    <chartFormat chart="12" format="12">
      <pivotArea type="data" outline="0" fieldPosition="0">
        <references count="3">
          <reference field="4294967294" count="1" selected="0">
            <x v="0"/>
          </reference>
          <reference field="12" count="1" selected="0">
            <x v="0"/>
          </reference>
          <reference field="13" count="1" selected="0">
            <x v="0"/>
          </reference>
        </references>
      </pivotArea>
    </chartFormat>
    <chartFormat chart="12" format="13">
      <pivotArea type="data" outline="0" fieldPosition="0">
        <references count="3">
          <reference field="4294967294" count="1" selected="0">
            <x v="0"/>
          </reference>
          <reference field="12" count="1" selected="0">
            <x v="1"/>
          </reference>
          <reference field="13" count="1" selected="0">
            <x v="0"/>
          </reference>
        </references>
      </pivotArea>
    </chartFormat>
    <chartFormat chart="12" format="14">
      <pivotArea type="data" outline="0" fieldPosition="0">
        <references count="3">
          <reference field="4294967294" count="1" selected="0">
            <x v="0"/>
          </reference>
          <reference field="12" count="1" selected="0">
            <x v="3"/>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EC0965-F944-486F-8CD7-ACF6FADEAB57}"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2:D29" firstHeaderRow="1" firstDataRow="2" firstDataCol="1" rowPageCount="2" colPageCount="1"/>
  <pivotFields count="14">
    <pivotField showAll="0"/>
    <pivotField showAll="0">
      <items count="3">
        <item x="0"/>
        <item x="1"/>
        <item t="default"/>
      </items>
    </pivotField>
    <pivotField axis="axisPage"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axis="axisPage" showAll="0">
      <items count="5">
        <item x="2"/>
        <item x="1"/>
        <item x="3"/>
        <item x="0"/>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pageFields count="2">
    <pageField fld="2" hier="-1"/>
    <pageField fld="12" hier="-1"/>
  </pageFields>
  <dataFields count="1">
    <dataField name="Count of Purchased Bike" fld="13" subtotal="count" baseField="0" baseItem="0"/>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9" count="1" selected="0">
            <x v="0"/>
          </reference>
          <reference field="13" count="1" selected="0">
            <x v="1"/>
          </reference>
        </references>
      </pivotArea>
    </chartFormat>
    <chartFormat chart="2" format="7">
      <pivotArea type="data" outline="0" fieldPosition="0">
        <references count="3">
          <reference field="4294967294" count="1" selected="0">
            <x v="0"/>
          </reference>
          <reference field="9" count="1" selected="0">
            <x v="0"/>
          </reference>
          <reference field="13" count="1" selected="0">
            <x v="0"/>
          </reference>
        </references>
      </pivotArea>
    </chartFormat>
    <chartFormat chart="2" format="8">
      <pivotArea type="data" outline="0" fieldPosition="0">
        <references count="3">
          <reference field="4294967294" count="1" selected="0">
            <x v="0"/>
          </reference>
          <reference field="9" count="1" selected="0">
            <x v="1"/>
          </reference>
          <reference field="13" count="1" selected="0">
            <x v="1"/>
          </reference>
        </references>
      </pivotArea>
    </chartFormat>
    <chartFormat chart="2" format="9">
      <pivotArea type="data" outline="0" fieldPosition="0">
        <references count="3">
          <reference field="4294967294" count="1" selected="0">
            <x v="0"/>
          </reference>
          <reference field="9" count="1" selected="0">
            <x v="1"/>
          </reference>
          <reference field="13" count="1" selected="0">
            <x v="0"/>
          </reference>
        </references>
      </pivotArea>
    </chartFormat>
    <chartFormat chart="2" format="10">
      <pivotArea type="data" outline="0" fieldPosition="0">
        <references count="3">
          <reference field="4294967294" count="1" selected="0">
            <x v="0"/>
          </reference>
          <reference field="9" count="1" selected="0">
            <x v="2"/>
          </reference>
          <reference field="13" count="1" selected="0">
            <x v="1"/>
          </reference>
        </references>
      </pivotArea>
    </chartFormat>
    <chartFormat chart="2" format="11">
      <pivotArea type="data" outline="0" fieldPosition="0">
        <references count="3">
          <reference field="4294967294" count="1" selected="0">
            <x v="0"/>
          </reference>
          <reference field="9" count="1" selected="0">
            <x v="2"/>
          </reference>
          <reference field="13" count="1" selected="0">
            <x v="0"/>
          </reference>
        </references>
      </pivotArea>
    </chartFormat>
    <chartFormat chart="2" format="12">
      <pivotArea type="data" outline="0" fieldPosition="0">
        <references count="3">
          <reference field="4294967294" count="1" selected="0">
            <x v="0"/>
          </reference>
          <reference field="9" count="1" selected="0">
            <x v="3"/>
          </reference>
          <reference field="13" count="1" selected="0">
            <x v="0"/>
          </reference>
        </references>
      </pivotArea>
    </chartFormat>
    <chartFormat chart="2" format="13">
      <pivotArea type="data" outline="0" fieldPosition="0">
        <references count="3">
          <reference field="4294967294" count="1" selected="0">
            <x v="0"/>
          </reference>
          <reference field="9" count="1" selected="0">
            <x v="3"/>
          </reference>
          <reference field="13" count="1" selected="0">
            <x v="1"/>
          </reference>
        </references>
      </pivotArea>
    </chartFormat>
    <chartFormat chart="2" format="14">
      <pivotArea type="data" outline="0" fieldPosition="0">
        <references count="3">
          <reference field="4294967294" count="1" selected="0">
            <x v="0"/>
          </reference>
          <reference field="9" count="1" selected="0">
            <x v="4"/>
          </reference>
          <reference field="13" count="1" selected="0">
            <x v="0"/>
          </reference>
        </references>
      </pivotArea>
    </chartFormat>
    <chartFormat chart="2" format="15">
      <pivotArea type="data" outline="0" fieldPosition="0">
        <references count="3">
          <reference field="4294967294" count="1" selected="0">
            <x v="0"/>
          </reference>
          <reference field="9" count="1" selected="0">
            <x v="4"/>
          </reference>
          <reference field="13" count="1" selected="0">
            <x v="1"/>
          </reference>
        </references>
      </pivotArea>
    </chartFormat>
    <chartFormat chart="2" format="1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14DEFB-6FF8-4734-AEFD-8FC1A36311CF}" sourceName="Region">
  <pivotTables>
    <pivotTable tabId="3" name="PivotTable5"/>
    <pivotTable tabId="3" name="PivotTable3"/>
    <pivotTable tabId="3" name="PivotTable4"/>
    <pivotTable tabId="3" name="PivotTable1"/>
    <pivotTable tabId="3" name="PivotTable6"/>
    <pivotTable tabId="3" name="PivotTable7"/>
    <pivotTable tabId="3" name="PivotTable2"/>
  </pivotTables>
  <data>
    <tabular pivotCacheId="99244396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EB62AC8-0185-433E-AF28-B91324940A0B}" sourceName="Education">
  <pivotTables>
    <pivotTable tabId="3" name="PivotTable5"/>
    <pivotTable tabId="3" name="PivotTable3"/>
    <pivotTable tabId="3" name="PivotTable4"/>
    <pivotTable tabId="3" name="PivotTable1"/>
    <pivotTable tabId="3" name="PivotTable6"/>
    <pivotTable tabId="3" name="PivotTable7"/>
    <pivotTable tabId="3" name="PivotTable2"/>
  </pivotTables>
  <data>
    <tabular pivotCacheId="99244396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D580BA55-2332-4B8E-918F-47AEAFB7C5AE}" sourceName="Occupation">
  <pivotTables>
    <pivotTable tabId="3" name="PivotTable5"/>
    <pivotTable tabId="3" name="PivotTable1"/>
    <pivotTable tabId="3" name="PivotTable3"/>
    <pivotTable tabId="3" name="PivotTable4"/>
    <pivotTable tabId="3" name="PivotTable6"/>
    <pivotTable tabId="3" name="PivotTable7"/>
    <pivotTable tabId="3" name="PivotTable2"/>
  </pivotTables>
  <data>
    <tabular pivotCacheId="992443964">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4A8E2D49-1B5A-4BD3-B700-649CECA92364}" sourceName="Age Range">
  <pivotTables>
    <pivotTable tabId="3" name="PivotTable3"/>
    <pivotTable tabId="3" name="PivotTable4"/>
    <pivotTable tabId="3" name="PivotTable5"/>
    <pivotTable tabId="3" name="PivotTable6"/>
    <pivotTable tabId="3" name="PivotTable1"/>
    <pivotTable tabId="3" name="PivotTable7"/>
    <pivotTable tabId="3" name="PivotTable2"/>
  </pivotTables>
  <data>
    <tabular pivotCacheId="992443964">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32180DF-B4AC-460B-A030-5D2B5617EBEE}" sourceName="Marital Status">
  <pivotTables>
    <pivotTable tabId="3" name="PivotTable4"/>
    <pivotTable tabId="3" name="PivotTable3"/>
    <pivotTable tabId="3" name="PivotTable5"/>
    <pivotTable tabId="3" name="PivotTable6"/>
    <pivotTable tabId="3" name="PivotTable1"/>
    <pivotTable tabId="3" name="PivotTable7"/>
    <pivotTable tabId="3" name="PivotTable2"/>
  </pivotTables>
  <data>
    <tabular pivotCacheId="99244396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ACDF26-5DFA-42F8-BB7D-26D7561CE91C}" cache="Slicer_Region" caption="Region" rowHeight="234950"/>
  <slicer name="Education" xr10:uid="{F087CADC-9028-4420-9967-C16AD5722067}" cache="Slicer_Education" caption="Education" rowHeight="234950"/>
  <slicer name="Occupation" xr10:uid="{6B6CDF4A-B72F-4210-A37F-17CC1F15F5C6}" cache="Slicer_Occupation" caption="Occupation" rowHeight="234950"/>
  <slicer name="Age Range" xr10:uid="{62CE9BE7-C262-4C6C-931F-0C19479A6A06}" cache="Slicer_Age_Range" caption="Age Range" rowHeight="234950"/>
  <slicer name="Marital Status" xr10:uid="{35CB6E5C-CD10-4E46-A989-5DD283E02978}" cache="Slicer_Marital_Status" caption="Marital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679747-F8C6-471B-A724-B51BFB7921F7}">
  <we:reference id="wa200009404" version="1.0.0.8" store="en-US" storeType="OMEX"/>
  <we:alternateReferences>
    <we:reference id="WA200009404" version="1.0.0.8" store="WA200009404" storeType="OMEX"/>
  </we:alternateReferences>
  <we:properties>
    <we:property name="claude.fileId" value="&quot;8b326a70-5438-4ab7-8454-268250a1d18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208" sqref="H208"/>
    </sheetView>
  </sheetViews>
  <sheetFormatPr defaultColWidth="11.88671875" defaultRowHeight="14.4" x14ac:dyDescent="0.3"/>
  <cols>
    <col min="6" max="6" width="16.21875" bestFit="1"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s="10">
        <v>13507</v>
      </c>
      <c r="B1002" s="10" t="s">
        <v>34</v>
      </c>
      <c r="C1002" s="10" t="s">
        <v>33</v>
      </c>
      <c r="D1002" s="11">
        <v>10000</v>
      </c>
      <c r="E1002" s="10">
        <v>2</v>
      </c>
      <c r="F1002" s="10" t="s">
        <v>19</v>
      </c>
      <c r="G1002" s="10" t="s">
        <v>25</v>
      </c>
      <c r="H1002" s="10" t="s">
        <v>15</v>
      </c>
      <c r="I1002" s="10">
        <v>0</v>
      </c>
      <c r="J1002" s="10" t="s">
        <v>26</v>
      </c>
      <c r="K1002" s="10" t="s">
        <v>17</v>
      </c>
      <c r="L1002" s="10">
        <v>50</v>
      </c>
      <c r="M1002" s="10" t="s">
        <v>18</v>
      </c>
    </row>
    <row r="1003" spans="1:13" x14ac:dyDescent="0.3">
      <c r="A1003" s="10">
        <v>19280</v>
      </c>
      <c r="B1003" s="10" t="s">
        <v>34</v>
      </c>
      <c r="C1003" s="10" t="s">
        <v>34</v>
      </c>
      <c r="D1003" s="11">
        <v>120000</v>
      </c>
      <c r="E1003" s="10">
        <v>2</v>
      </c>
      <c r="F1003" s="10" t="s">
        <v>19</v>
      </c>
      <c r="G1003" s="10" t="s">
        <v>25</v>
      </c>
      <c r="H1003" s="10" t="s">
        <v>15</v>
      </c>
      <c r="I1003" s="10">
        <v>1</v>
      </c>
      <c r="J1003" s="10" t="s">
        <v>16</v>
      </c>
      <c r="K1003" s="10" t="s">
        <v>17</v>
      </c>
      <c r="L1003" s="10">
        <v>40</v>
      </c>
      <c r="M1003" s="10" t="s">
        <v>15</v>
      </c>
    </row>
    <row r="1004" spans="1:13" x14ac:dyDescent="0.3">
      <c r="A1004" s="10">
        <v>22173</v>
      </c>
      <c r="B1004" s="10" t="s">
        <v>34</v>
      </c>
      <c r="C1004" s="10" t="s">
        <v>33</v>
      </c>
      <c r="D1004" s="11">
        <v>30000</v>
      </c>
      <c r="E1004" s="10">
        <v>3</v>
      </c>
      <c r="F1004" s="10" t="s">
        <v>27</v>
      </c>
      <c r="G1004" s="10" t="s">
        <v>14</v>
      </c>
      <c r="H1004" s="10" t="s">
        <v>18</v>
      </c>
      <c r="I1004" s="10">
        <v>2</v>
      </c>
      <c r="J1004" s="10" t="s">
        <v>26</v>
      </c>
      <c r="K1004" s="10" t="s">
        <v>24</v>
      </c>
      <c r="L1004" s="10">
        <v>54</v>
      </c>
      <c r="M1004" s="10" t="s">
        <v>15</v>
      </c>
    </row>
    <row r="1005" spans="1:13" x14ac:dyDescent="0.3">
      <c r="A1005" s="10">
        <v>12697</v>
      </c>
      <c r="B1005" s="10" t="s">
        <v>35</v>
      </c>
      <c r="C1005" s="10" t="s">
        <v>33</v>
      </c>
      <c r="D1005" s="11">
        <v>90000</v>
      </c>
      <c r="E1005" s="10">
        <v>0</v>
      </c>
      <c r="F1005" s="10" t="s">
        <v>13</v>
      </c>
      <c r="G1005" s="10" t="s">
        <v>21</v>
      </c>
      <c r="H1005" s="10" t="s">
        <v>18</v>
      </c>
      <c r="I1005" s="10">
        <v>4</v>
      </c>
      <c r="J1005" s="10" t="s">
        <v>30</v>
      </c>
      <c r="K1005" s="10" t="s">
        <v>24</v>
      </c>
      <c r="L1005" s="10">
        <v>36</v>
      </c>
      <c r="M1005" s="10" t="s">
        <v>18</v>
      </c>
    </row>
    <row r="1006" spans="1:13" x14ac:dyDescent="0.3">
      <c r="A1006" s="10">
        <v>11434</v>
      </c>
      <c r="B1006" s="10" t="s">
        <v>34</v>
      </c>
      <c r="C1006" s="10" t="s">
        <v>34</v>
      </c>
      <c r="D1006" s="11">
        <v>170000</v>
      </c>
      <c r="E1006" s="10">
        <v>5</v>
      </c>
      <c r="F1006" s="10" t="s">
        <v>19</v>
      </c>
      <c r="G1006" s="10" t="s">
        <v>21</v>
      </c>
      <c r="H1006" s="10" t="s">
        <v>15</v>
      </c>
      <c r="I1006" s="10">
        <v>0</v>
      </c>
      <c r="J1006" s="10" t="s">
        <v>16</v>
      </c>
      <c r="K1006" s="10" t="s">
        <v>17</v>
      </c>
      <c r="L1006" s="10">
        <v>55</v>
      </c>
      <c r="M1006" s="10" t="s">
        <v>18</v>
      </c>
    </row>
    <row r="1007" spans="1:13" x14ac:dyDescent="0.3">
      <c r="A1007" s="10">
        <v>25323</v>
      </c>
      <c r="B1007" s="10" t="s">
        <v>34</v>
      </c>
      <c r="C1007" s="10" t="s">
        <v>34</v>
      </c>
      <c r="D1007" s="11">
        <v>40000</v>
      </c>
      <c r="E1007" s="10">
        <v>2</v>
      </c>
      <c r="F1007" s="10" t="s">
        <v>19</v>
      </c>
      <c r="G1007" s="10" t="s">
        <v>20</v>
      </c>
      <c r="H1007" s="10" t="s">
        <v>15</v>
      </c>
      <c r="I1007" s="10">
        <v>1</v>
      </c>
      <c r="J1007" s="10" t="s">
        <v>26</v>
      </c>
      <c r="K1007" s="10" t="s">
        <v>17</v>
      </c>
      <c r="L1007" s="10">
        <v>35</v>
      </c>
      <c r="M1007" s="10" t="s">
        <v>15</v>
      </c>
    </row>
    <row r="1008" spans="1:13" x14ac:dyDescent="0.3">
      <c r="A1008" s="10">
        <v>23542</v>
      </c>
      <c r="B1008" s="10" t="s">
        <v>35</v>
      </c>
      <c r="C1008" s="10" t="s">
        <v>34</v>
      </c>
      <c r="D1008" s="11">
        <v>60000</v>
      </c>
      <c r="E1008" s="10">
        <v>1</v>
      </c>
      <c r="F1008" s="10" t="s">
        <v>19</v>
      </c>
      <c r="G1008" s="10" t="s">
        <v>14</v>
      </c>
      <c r="H1008" s="10" t="s">
        <v>18</v>
      </c>
      <c r="I1008" s="10">
        <v>1</v>
      </c>
      <c r="J1008" s="10" t="s">
        <v>16</v>
      </c>
      <c r="K1008" s="10" t="s">
        <v>24</v>
      </c>
      <c r="L1008" s="10">
        <v>45</v>
      </c>
      <c r="M1008" s="10" t="s">
        <v>15</v>
      </c>
    </row>
    <row r="1009" spans="1:13" x14ac:dyDescent="0.3">
      <c r="A1009" s="10">
        <v>20870</v>
      </c>
      <c r="B1009" s="10" t="s">
        <v>35</v>
      </c>
      <c r="C1009" s="10" t="s">
        <v>33</v>
      </c>
      <c r="D1009" s="11">
        <v>10000</v>
      </c>
      <c r="E1009" s="10">
        <v>2</v>
      </c>
      <c r="F1009" s="10" t="s">
        <v>27</v>
      </c>
      <c r="G1009" s="10" t="s">
        <v>25</v>
      </c>
      <c r="H1009" s="10" t="s">
        <v>15</v>
      </c>
      <c r="I1009" s="10">
        <v>1</v>
      </c>
      <c r="J1009" s="10" t="s">
        <v>16</v>
      </c>
      <c r="K1009" s="10" t="s">
        <v>17</v>
      </c>
      <c r="L1009" s="10">
        <v>38</v>
      </c>
      <c r="M1009" s="10" t="s">
        <v>15</v>
      </c>
    </row>
    <row r="1010" spans="1:13" x14ac:dyDescent="0.3">
      <c r="A1010" s="10">
        <v>23316</v>
      </c>
      <c r="B1010" s="10" t="s">
        <v>35</v>
      </c>
      <c r="C1010" s="10" t="s">
        <v>34</v>
      </c>
      <c r="D1010" s="11">
        <v>30000</v>
      </c>
      <c r="E1010" s="10">
        <v>3</v>
      </c>
      <c r="F1010" s="10" t="s">
        <v>19</v>
      </c>
      <c r="G1010" s="10" t="s">
        <v>20</v>
      </c>
      <c r="H1010" s="10" t="s">
        <v>18</v>
      </c>
      <c r="I1010" s="10">
        <v>2</v>
      </c>
      <c r="J1010" s="10" t="s">
        <v>26</v>
      </c>
      <c r="K1010" s="10" t="s">
        <v>24</v>
      </c>
      <c r="L1010" s="10">
        <v>59</v>
      </c>
      <c r="M1010" s="10" t="s">
        <v>15</v>
      </c>
    </row>
    <row r="1011" spans="1:13" x14ac:dyDescent="0.3">
      <c r="A1011" s="10">
        <v>12610</v>
      </c>
      <c r="B1011" s="10" t="s">
        <v>34</v>
      </c>
      <c r="C1011" s="10" t="s">
        <v>33</v>
      </c>
      <c r="D1011" s="11">
        <v>30000</v>
      </c>
      <c r="E1011" s="10">
        <v>1</v>
      </c>
      <c r="F1011" s="10" t="s">
        <v>13</v>
      </c>
      <c r="G1011" s="10" t="s">
        <v>20</v>
      </c>
      <c r="H1011" s="10" t="s">
        <v>15</v>
      </c>
      <c r="I1011" s="10">
        <v>0</v>
      </c>
      <c r="J1011" s="10" t="s">
        <v>16</v>
      </c>
      <c r="K1011" s="10" t="s">
        <v>17</v>
      </c>
      <c r="L1011" s="10">
        <v>47</v>
      </c>
      <c r="M1011" s="10" t="s">
        <v>18</v>
      </c>
    </row>
    <row r="1012" spans="1:13" x14ac:dyDescent="0.3">
      <c r="A1012" s="10">
        <v>27183</v>
      </c>
      <c r="B1012" s="10" t="s">
        <v>35</v>
      </c>
      <c r="C1012" s="10" t="s">
        <v>34</v>
      </c>
      <c r="D1012" s="11">
        <v>40000</v>
      </c>
      <c r="E1012" s="10">
        <v>2</v>
      </c>
      <c r="F1012" s="10" t="s">
        <v>19</v>
      </c>
      <c r="G1012" s="10" t="s">
        <v>20</v>
      </c>
      <c r="H1012" s="10" t="s">
        <v>15</v>
      </c>
      <c r="I1012" s="10">
        <v>1</v>
      </c>
      <c r="J1012" s="10" t="s">
        <v>26</v>
      </c>
      <c r="K1012" s="10" t="s">
        <v>17</v>
      </c>
      <c r="L1012" s="10">
        <v>35</v>
      </c>
      <c r="M1012" s="10" t="s">
        <v>15</v>
      </c>
    </row>
    <row r="1013" spans="1:13" x14ac:dyDescent="0.3">
      <c r="A1013" s="10">
        <v>25940</v>
      </c>
      <c r="B1013" s="10" t="s">
        <v>35</v>
      </c>
      <c r="C1013" s="10" t="s">
        <v>34</v>
      </c>
      <c r="D1013" s="11">
        <v>20000</v>
      </c>
      <c r="E1013" s="10">
        <v>2</v>
      </c>
      <c r="F1013" s="10" t="s">
        <v>29</v>
      </c>
      <c r="G1013" s="10" t="s">
        <v>20</v>
      </c>
      <c r="H1013" s="10" t="s">
        <v>15</v>
      </c>
      <c r="I1013" s="10">
        <v>2</v>
      </c>
      <c r="J1013" s="10" t="s">
        <v>23</v>
      </c>
      <c r="K1013" s="10" t="s">
        <v>24</v>
      </c>
      <c r="L1013" s="10">
        <v>55</v>
      </c>
      <c r="M1013" s="10" t="s">
        <v>15</v>
      </c>
    </row>
    <row r="1014" spans="1:13" x14ac:dyDescent="0.3">
      <c r="A1014" s="10">
        <v>25598</v>
      </c>
      <c r="B1014" s="10" t="s">
        <v>34</v>
      </c>
      <c r="C1014" s="10" t="s">
        <v>33</v>
      </c>
      <c r="D1014" s="11">
        <v>40000</v>
      </c>
      <c r="E1014" s="10">
        <v>0</v>
      </c>
      <c r="F1014" s="10" t="s">
        <v>31</v>
      </c>
      <c r="G1014" s="10" t="s">
        <v>20</v>
      </c>
      <c r="H1014" s="10" t="s">
        <v>15</v>
      </c>
      <c r="I1014" s="10">
        <v>0</v>
      </c>
      <c r="J1014" s="10" t="s">
        <v>16</v>
      </c>
      <c r="K1014" s="10" t="s">
        <v>17</v>
      </c>
      <c r="L1014" s="10">
        <v>36</v>
      </c>
      <c r="M1014" s="10" t="s">
        <v>15</v>
      </c>
    </row>
    <row r="1015" spans="1:13" x14ac:dyDescent="0.3">
      <c r="A1015" s="10">
        <v>21564</v>
      </c>
      <c r="B1015" s="10" t="s">
        <v>35</v>
      </c>
      <c r="C1015" s="10" t="s">
        <v>33</v>
      </c>
      <c r="D1015" s="11">
        <v>80000</v>
      </c>
      <c r="E1015" s="10">
        <v>0</v>
      </c>
      <c r="F1015" s="10" t="s">
        <v>13</v>
      </c>
      <c r="G1015" s="10" t="s">
        <v>21</v>
      </c>
      <c r="H1015" s="10" t="s">
        <v>15</v>
      </c>
      <c r="I1015" s="10">
        <v>4</v>
      </c>
      <c r="J1015" s="10" t="s">
        <v>30</v>
      </c>
      <c r="K1015" s="10" t="s">
        <v>24</v>
      </c>
      <c r="L1015" s="10">
        <v>35</v>
      </c>
      <c r="M1015" s="10" t="s">
        <v>18</v>
      </c>
    </row>
    <row r="1016" spans="1:13" x14ac:dyDescent="0.3">
      <c r="A1016" s="10">
        <v>19193</v>
      </c>
      <c r="B1016" s="10" t="s">
        <v>35</v>
      </c>
      <c r="C1016" s="10" t="s">
        <v>34</v>
      </c>
      <c r="D1016" s="11">
        <v>40000</v>
      </c>
      <c r="E1016" s="10">
        <v>2</v>
      </c>
      <c r="F1016" s="10" t="s">
        <v>19</v>
      </c>
      <c r="G1016" s="10" t="s">
        <v>20</v>
      </c>
      <c r="H1016" s="10" t="s">
        <v>15</v>
      </c>
      <c r="I1016" s="10">
        <v>0</v>
      </c>
      <c r="J1016" s="10" t="s">
        <v>26</v>
      </c>
      <c r="K1016" s="10" t="s">
        <v>17</v>
      </c>
      <c r="L1016" s="10">
        <v>35</v>
      </c>
      <c r="M1016" s="10" t="s">
        <v>15</v>
      </c>
    </row>
    <row r="1017" spans="1:13" x14ac:dyDescent="0.3">
      <c r="A1017" s="10">
        <v>26412</v>
      </c>
      <c r="B1017" s="10" t="s">
        <v>34</v>
      </c>
      <c r="C1017" s="10" t="s">
        <v>33</v>
      </c>
      <c r="D1017" s="11">
        <v>80000</v>
      </c>
      <c r="E1017" s="10">
        <v>5</v>
      </c>
      <c r="F1017" s="10" t="s">
        <v>27</v>
      </c>
      <c r="G1017" s="10" t="s">
        <v>28</v>
      </c>
      <c r="H1017" s="10" t="s">
        <v>18</v>
      </c>
      <c r="I1017" s="10">
        <v>3</v>
      </c>
      <c r="J1017" s="10" t="s">
        <v>23</v>
      </c>
      <c r="K1017" s="10" t="s">
        <v>17</v>
      </c>
      <c r="L1017" s="10">
        <v>56</v>
      </c>
      <c r="M1017" s="10" t="s">
        <v>18</v>
      </c>
    </row>
    <row r="1018" spans="1:13" x14ac:dyDescent="0.3">
      <c r="A1018" s="10">
        <v>27184</v>
      </c>
      <c r="B1018" s="10" t="s">
        <v>35</v>
      </c>
      <c r="C1018" s="10" t="s">
        <v>34</v>
      </c>
      <c r="D1018" s="11">
        <v>40000</v>
      </c>
      <c r="E1018" s="10">
        <v>2</v>
      </c>
      <c r="F1018" s="10" t="s">
        <v>19</v>
      </c>
      <c r="G1018" s="10" t="s">
        <v>20</v>
      </c>
      <c r="H1018" s="10" t="s">
        <v>18</v>
      </c>
      <c r="I1018" s="10">
        <v>1</v>
      </c>
      <c r="J1018" s="10" t="s">
        <v>16</v>
      </c>
      <c r="K1018" s="10" t="s">
        <v>17</v>
      </c>
      <c r="L1018" s="10">
        <v>34</v>
      </c>
      <c r="M1018" s="10" t="s">
        <v>18</v>
      </c>
    </row>
    <row r="1019" spans="1:13" x14ac:dyDescent="0.3">
      <c r="A1019" s="10">
        <v>12590</v>
      </c>
      <c r="B1019" s="10" t="s">
        <v>35</v>
      </c>
      <c r="C1019" s="10" t="s">
        <v>34</v>
      </c>
      <c r="D1019" s="11">
        <v>30000</v>
      </c>
      <c r="E1019" s="10">
        <v>1</v>
      </c>
      <c r="F1019" s="10" t="s">
        <v>13</v>
      </c>
      <c r="G1019" s="10" t="s">
        <v>20</v>
      </c>
      <c r="H1019" s="10" t="s">
        <v>15</v>
      </c>
      <c r="I1019" s="10">
        <v>0</v>
      </c>
      <c r="J1019" s="10" t="s">
        <v>16</v>
      </c>
      <c r="K1019" s="10" t="s">
        <v>17</v>
      </c>
      <c r="L1019" s="10">
        <v>63</v>
      </c>
      <c r="M1019" s="10" t="s">
        <v>18</v>
      </c>
    </row>
    <row r="1020" spans="1:13" x14ac:dyDescent="0.3">
      <c r="A1020" s="10">
        <v>17841</v>
      </c>
      <c r="B1020" s="10" t="s">
        <v>35</v>
      </c>
      <c r="C1020" s="10" t="s">
        <v>34</v>
      </c>
      <c r="D1020" s="11">
        <v>30000</v>
      </c>
      <c r="E1020" s="10">
        <v>0</v>
      </c>
      <c r="F1020" s="10" t="s">
        <v>19</v>
      </c>
      <c r="G1020" s="10" t="s">
        <v>20</v>
      </c>
      <c r="H1020" s="10" t="s">
        <v>18</v>
      </c>
      <c r="I1020" s="10">
        <v>1</v>
      </c>
      <c r="J1020" s="10" t="s">
        <v>16</v>
      </c>
      <c r="K1020" s="10" t="s">
        <v>17</v>
      </c>
      <c r="L1020" s="10">
        <v>29</v>
      </c>
      <c r="M1020" s="10" t="s">
        <v>15</v>
      </c>
    </row>
    <row r="1021" spans="1:13" x14ac:dyDescent="0.3">
      <c r="A1021" s="10">
        <v>18283</v>
      </c>
      <c r="B1021" s="10" t="s">
        <v>35</v>
      </c>
      <c r="C1021" s="10" t="s">
        <v>33</v>
      </c>
      <c r="D1021" s="11">
        <v>100000</v>
      </c>
      <c r="E1021" s="10">
        <v>0</v>
      </c>
      <c r="F1021" s="10" t="s">
        <v>13</v>
      </c>
      <c r="G1021" s="10" t="s">
        <v>21</v>
      </c>
      <c r="H1021" s="10" t="s">
        <v>18</v>
      </c>
      <c r="I1021" s="10">
        <v>1</v>
      </c>
      <c r="J1021" s="10" t="s">
        <v>23</v>
      </c>
      <c r="K1021" s="10" t="s">
        <v>24</v>
      </c>
      <c r="L1021" s="10">
        <v>40</v>
      </c>
      <c r="M1021" s="10" t="s">
        <v>18</v>
      </c>
    </row>
    <row r="1022" spans="1:13" x14ac:dyDescent="0.3">
      <c r="A1022" s="10">
        <v>18299</v>
      </c>
      <c r="B1022" s="10" t="s">
        <v>34</v>
      </c>
      <c r="C1022" s="10" t="s">
        <v>34</v>
      </c>
      <c r="D1022" s="11">
        <v>70000</v>
      </c>
      <c r="E1022" s="10">
        <v>5</v>
      </c>
      <c r="F1022" s="10" t="s">
        <v>19</v>
      </c>
      <c r="G1022" s="10" t="s">
        <v>14</v>
      </c>
      <c r="H1022" s="10" t="s">
        <v>15</v>
      </c>
      <c r="I1022" s="10">
        <v>2</v>
      </c>
      <c r="J1022" s="10" t="s">
        <v>23</v>
      </c>
      <c r="K1022" s="10" t="s">
        <v>24</v>
      </c>
      <c r="L1022" s="10">
        <v>44</v>
      </c>
      <c r="M1022" s="10" t="s">
        <v>18</v>
      </c>
    </row>
    <row r="1023" spans="1:13" x14ac:dyDescent="0.3">
      <c r="A1023" s="10">
        <v>16466</v>
      </c>
      <c r="B1023" s="10" t="s">
        <v>35</v>
      </c>
      <c r="C1023" s="10" t="s">
        <v>33</v>
      </c>
      <c r="D1023" s="11">
        <v>20000</v>
      </c>
      <c r="E1023" s="10">
        <v>0</v>
      </c>
      <c r="F1023" s="10" t="s">
        <v>29</v>
      </c>
      <c r="G1023" s="10" t="s">
        <v>25</v>
      </c>
      <c r="H1023" s="10" t="s">
        <v>18</v>
      </c>
      <c r="I1023" s="10">
        <v>2</v>
      </c>
      <c r="J1023" s="10" t="s">
        <v>16</v>
      </c>
      <c r="K1023" s="10" t="s">
        <v>17</v>
      </c>
      <c r="L1023" s="10">
        <v>32</v>
      </c>
      <c r="M1023" s="10" t="s">
        <v>15</v>
      </c>
    </row>
    <row r="1024" spans="1:13" x14ac:dyDescent="0.3">
      <c r="A1024" s="10">
        <v>19273</v>
      </c>
      <c r="B1024" s="10" t="s">
        <v>34</v>
      </c>
      <c r="C1024" s="10" t="s">
        <v>33</v>
      </c>
      <c r="D1024" s="11">
        <v>20000</v>
      </c>
      <c r="E1024" s="10">
        <v>2</v>
      </c>
      <c r="F1024" s="10" t="s">
        <v>19</v>
      </c>
      <c r="G1024" s="10" t="s">
        <v>25</v>
      </c>
      <c r="H1024" s="10" t="s">
        <v>15</v>
      </c>
      <c r="I1024" s="10">
        <v>0</v>
      </c>
      <c r="J1024" s="10" t="s">
        <v>16</v>
      </c>
      <c r="K1024" s="10" t="s">
        <v>17</v>
      </c>
      <c r="L1024" s="10">
        <v>63</v>
      </c>
      <c r="M1024" s="10" t="s">
        <v>18</v>
      </c>
    </row>
    <row r="1025" spans="1:13" x14ac:dyDescent="0.3">
      <c r="A1025" s="10">
        <v>22400</v>
      </c>
      <c r="B1025" s="10" t="s">
        <v>34</v>
      </c>
      <c r="C1025" s="10" t="s">
        <v>34</v>
      </c>
      <c r="D1025" s="11">
        <v>10000</v>
      </c>
      <c r="E1025" s="10">
        <v>0</v>
      </c>
      <c r="F1025" s="10" t="s">
        <v>19</v>
      </c>
      <c r="G1025" s="10" t="s">
        <v>25</v>
      </c>
      <c r="H1025" s="10" t="s">
        <v>18</v>
      </c>
      <c r="I1025" s="10">
        <v>1</v>
      </c>
      <c r="J1025" s="10" t="s">
        <v>16</v>
      </c>
      <c r="K1025" s="10" t="s">
        <v>24</v>
      </c>
      <c r="L1025" s="10">
        <v>26</v>
      </c>
      <c r="M1025" s="10" t="s">
        <v>15</v>
      </c>
    </row>
    <row r="1026" spans="1:13" x14ac:dyDescent="0.3">
      <c r="A1026" s="10">
        <v>20942</v>
      </c>
      <c r="B1026" s="10" t="s">
        <v>35</v>
      </c>
      <c r="C1026" s="10" t="s">
        <v>33</v>
      </c>
      <c r="D1026" s="11">
        <v>20000</v>
      </c>
      <c r="E1026" s="10">
        <v>0</v>
      </c>
      <c r="F1026" s="10" t="s">
        <v>27</v>
      </c>
      <c r="G1026" s="10" t="s">
        <v>25</v>
      </c>
      <c r="H1026" s="10" t="s">
        <v>18</v>
      </c>
      <c r="I1026" s="10">
        <v>1</v>
      </c>
      <c r="J1026" s="10" t="s">
        <v>23</v>
      </c>
      <c r="K1026" s="10" t="s">
        <v>17</v>
      </c>
      <c r="L1026" s="10">
        <v>31</v>
      </c>
      <c r="M1026" s="10" t="s">
        <v>18</v>
      </c>
    </row>
    <row r="1027" spans="1:13" x14ac:dyDescent="0.3">
      <c r="A1027" s="10">
        <v>18484</v>
      </c>
      <c r="B1027" s="10" t="s">
        <v>35</v>
      </c>
      <c r="C1027" s="10" t="s">
        <v>34</v>
      </c>
      <c r="D1027" s="11">
        <v>80000</v>
      </c>
      <c r="E1027" s="10">
        <v>2</v>
      </c>
      <c r="F1027" s="10" t="s">
        <v>27</v>
      </c>
      <c r="G1027" s="10" t="s">
        <v>14</v>
      </c>
      <c r="H1027" s="10" t="s">
        <v>18</v>
      </c>
      <c r="I1027" s="10">
        <v>2</v>
      </c>
      <c r="J1027" s="10" t="s">
        <v>26</v>
      </c>
      <c r="K1027" s="10" t="s">
        <v>24</v>
      </c>
      <c r="L1027" s="10">
        <v>50</v>
      </c>
      <c r="M1027" s="10"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11182-5A07-495A-8F69-BCAE46116056}">
  <sheetPr filterMode="1"/>
  <dimension ref="A1:N1001"/>
  <sheetViews>
    <sheetView workbookViewId="0">
      <selection activeCell="A1003" sqref="A1003"/>
    </sheetView>
  </sheetViews>
  <sheetFormatPr defaultColWidth="11.88671875" defaultRowHeight="14.4" x14ac:dyDescent="0.3"/>
  <cols>
    <col min="2" max="2" width="14.5546875" bestFit="1" customWidth="1"/>
    <col min="6" max="6" width="16.21875" bestFit="1" customWidth="1"/>
    <col min="7" max="7" width="12.6640625" bestFit="1" customWidth="1"/>
    <col min="10" max="10" width="16.777343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IF(L2&gt;=65, "Old", IF(L2&gt;=45, "Middle Age", IF(L2&gt;=35, "Young", IF(L2&gt;=25, "Adolescence", "Invalid"))))</f>
        <v>Young</v>
      </c>
      <c r="N2" t="s">
        <v>18</v>
      </c>
    </row>
    <row r="3" spans="1:14" x14ac:dyDescent="0.3">
      <c r="A3">
        <v>24107</v>
      </c>
      <c r="B3" t="s">
        <v>36</v>
      </c>
      <c r="C3" t="s">
        <v>39</v>
      </c>
      <c r="D3" s="1">
        <v>30000</v>
      </c>
      <c r="E3">
        <v>3</v>
      </c>
      <c r="F3" t="s">
        <v>19</v>
      </c>
      <c r="G3" t="s">
        <v>20</v>
      </c>
      <c r="H3" t="s">
        <v>15</v>
      </c>
      <c r="I3">
        <v>1</v>
      </c>
      <c r="J3" t="s">
        <v>16</v>
      </c>
      <c r="K3" t="s">
        <v>17</v>
      </c>
      <c r="L3">
        <v>43</v>
      </c>
      <c r="M3" t="str">
        <f t="shared" ref="M3:M66" si="0">IF(L3&gt;=65, "Old", IF(L3&gt;=45, "Middle Age", IF(L3&gt;=35, "Young", IF(L3&gt;=25, "Adolescence", "Invalid"))))</f>
        <v>Young</v>
      </c>
      <c r="N3" t="s">
        <v>18</v>
      </c>
    </row>
    <row r="4" spans="1:14" hidden="1" x14ac:dyDescent="0.3">
      <c r="A4">
        <v>14177</v>
      </c>
      <c r="B4" t="s">
        <v>36</v>
      </c>
      <c r="C4" t="s">
        <v>39</v>
      </c>
      <c r="D4" s="1">
        <v>80000</v>
      </c>
      <c r="E4">
        <v>5</v>
      </c>
      <c r="F4" t="s">
        <v>19</v>
      </c>
      <c r="G4" t="s">
        <v>21</v>
      </c>
      <c r="H4" t="s">
        <v>18</v>
      </c>
      <c r="I4">
        <v>2</v>
      </c>
      <c r="J4" t="s">
        <v>22</v>
      </c>
      <c r="K4" t="s">
        <v>17</v>
      </c>
      <c r="L4">
        <v>60</v>
      </c>
      <c r="M4" t="str">
        <f t="shared" si="0"/>
        <v>Middle Age</v>
      </c>
      <c r="N4" t="s">
        <v>18</v>
      </c>
    </row>
    <row r="5" spans="1:14" x14ac:dyDescent="0.3">
      <c r="A5">
        <v>24381</v>
      </c>
      <c r="B5" t="s">
        <v>37</v>
      </c>
      <c r="C5" t="s">
        <v>39</v>
      </c>
      <c r="D5" s="1">
        <v>70000</v>
      </c>
      <c r="E5">
        <v>0</v>
      </c>
      <c r="F5" t="s">
        <v>13</v>
      </c>
      <c r="G5" t="s">
        <v>21</v>
      </c>
      <c r="H5" t="s">
        <v>15</v>
      </c>
      <c r="I5">
        <v>1</v>
      </c>
      <c r="J5" t="s">
        <v>23</v>
      </c>
      <c r="K5" t="s">
        <v>24</v>
      </c>
      <c r="L5">
        <v>41</v>
      </c>
      <c r="M5" t="str">
        <f t="shared" si="0"/>
        <v>Young</v>
      </c>
      <c r="N5" t="s">
        <v>15</v>
      </c>
    </row>
    <row r="6" spans="1:14" x14ac:dyDescent="0.3">
      <c r="A6">
        <v>25597</v>
      </c>
      <c r="B6" t="s">
        <v>37</v>
      </c>
      <c r="C6" t="s">
        <v>39</v>
      </c>
      <c r="D6" s="1">
        <v>30000</v>
      </c>
      <c r="E6">
        <v>0</v>
      </c>
      <c r="F6" t="s">
        <v>13</v>
      </c>
      <c r="G6" t="s">
        <v>20</v>
      </c>
      <c r="H6" t="s">
        <v>18</v>
      </c>
      <c r="I6">
        <v>0</v>
      </c>
      <c r="J6" t="s">
        <v>16</v>
      </c>
      <c r="K6" t="s">
        <v>17</v>
      </c>
      <c r="L6">
        <v>36</v>
      </c>
      <c r="M6" t="str">
        <f t="shared" si="0"/>
        <v>Young</v>
      </c>
      <c r="N6" t="s">
        <v>15</v>
      </c>
    </row>
    <row r="7" spans="1:14" hidden="1" x14ac:dyDescent="0.3">
      <c r="A7">
        <v>13507</v>
      </c>
      <c r="B7" t="s">
        <v>36</v>
      </c>
      <c r="C7" t="s">
        <v>38</v>
      </c>
      <c r="D7" s="1">
        <v>10000</v>
      </c>
      <c r="E7">
        <v>2</v>
      </c>
      <c r="F7" t="s">
        <v>19</v>
      </c>
      <c r="G7" t="s">
        <v>25</v>
      </c>
      <c r="H7" t="s">
        <v>15</v>
      </c>
      <c r="I7">
        <v>0</v>
      </c>
      <c r="J7" t="s">
        <v>26</v>
      </c>
      <c r="K7" t="s">
        <v>17</v>
      </c>
      <c r="L7">
        <v>50</v>
      </c>
      <c r="M7" t="str">
        <f t="shared" si="0"/>
        <v>Middle Age</v>
      </c>
      <c r="N7" t="s">
        <v>18</v>
      </c>
    </row>
    <row r="8" spans="1:14" hidden="1" x14ac:dyDescent="0.3">
      <c r="A8">
        <v>27974</v>
      </c>
      <c r="B8" t="s">
        <v>37</v>
      </c>
      <c r="C8" t="s">
        <v>39</v>
      </c>
      <c r="D8" s="1">
        <v>160000</v>
      </c>
      <c r="E8">
        <v>2</v>
      </c>
      <c r="F8" t="s">
        <v>27</v>
      </c>
      <c r="G8" t="s">
        <v>28</v>
      </c>
      <c r="H8" t="s">
        <v>15</v>
      </c>
      <c r="I8">
        <v>4</v>
      </c>
      <c r="J8" t="s">
        <v>16</v>
      </c>
      <c r="K8" t="s">
        <v>24</v>
      </c>
      <c r="L8">
        <v>33</v>
      </c>
      <c r="M8" t="str">
        <f t="shared" si="0"/>
        <v>Adolescence</v>
      </c>
      <c r="N8" t="s">
        <v>15</v>
      </c>
    </row>
    <row r="9" spans="1:14" x14ac:dyDescent="0.3">
      <c r="A9">
        <v>19364</v>
      </c>
      <c r="B9" t="s">
        <v>36</v>
      </c>
      <c r="C9" t="s">
        <v>39</v>
      </c>
      <c r="D9" s="1">
        <v>40000</v>
      </c>
      <c r="E9">
        <v>1</v>
      </c>
      <c r="F9" t="s">
        <v>13</v>
      </c>
      <c r="G9" t="s">
        <v>14</v>
      </c>
      <c r="H9" t="s">
        <v>15</v>
      </c>
      <c r="I9">
        <v>0</v>
      </c>
      <c r="J9" t="s">
        <v>16</v>
      </c>
      <c r="K9" t="s">
        <v>17</v>
      </c>
      <c r="L9">
        <v>43</v>
      </c>
      <c r="M9" t="str">
        <f t="shared" si="0"/>
        <v>Young</v>
      </c>
      <c r="N9" t="s">
        <v>15</v>
      </c>
    </row>
    <row r="10" spans="1:14" hidden="1" x14ac:dyDescent="0.3">
      <c r="A10">
        <v>22155</v>
      </c>
      <c r="B10" t="s">
        <v>36</v>
      </c>
      <c r="C10" t="s">
        <v>39</v>
      </c>
      <c r="D10" s="1">
        <v>20000</v>
      </c>
      <c r="E10">
        <v>2</v>
      </c>
      <c r="F10" t="s">
        <v>29</v>
      </c>
      <c r="G10" t="s">
        <v>20</v>
      </c>
      <c r="H10" t="s">
        <v>15</v>
      </c>
      <c r="I10">
        <v>2</v>
      </c>
      <c r="J10" t="s">
        <v>23</v>
      </c>
      <c r="K10" t="s">
        <v>24</v>
      </c>
      <c r="L10">
        <v>58</v>
      </c>
      <c r="M10" t="str">
        <f t="shared" si="0"/>
        <v>Middle Age</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Young</v>
      </c>
      <c r="N11" t="s">
        <v>15</v>
      </c>
    </row>
    <row r="12" spans="1:14" hidden="1" x14ac:dyDescent="0.3">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1">
        <v>90000</v>
      </c>
      <c r="E13">
        <v>0</v>
      </c>
      <c r="F13" t="s">
        <v>13</v>
      </c>
      <c r="G13" t="s">
        <v>21</v>
      </c>
      <c r="H13" t="s">
        <v>18</v>
      </c>
      <c r="I13">
        <v>4</v>
      </c>
      <c r="J13" t="s">
        <v>30</v>
      </c>
      <c r="K13" t="s">
        <v>24</v>
      </c>
      <c r="L13">
        <v>36</v>
      </c>
      <c r="M13" t="str">
        <f t="shared" si="0"/>
        <v>Young</v>
      </c>
      <c r="N13" t="s">
        <v>18</v>
      </c>
    </row>
    <row r="14" spans="1:14" hidden="1" x14ac:dyDescent="0.3">
      <c r="A14">
        <v>11434</v>
      </c>
      <c r="B14" t="s">
        <v>36</v>
      </c>
      <c r="C14" t="s">
        <v>39</v>
      </c>
      <c r="D14" s="1">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Young</v>
      </c>
      <c r="N15" t="s">
        <v>15</v>
      </c>
    </row>
    <row r="16" spans="1:14" hidden="1"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Young</v>
      </c>
      <c r="N17" t="s">
        <v>15</v>
      </c>
    </row>
    <row r="18" spans="1:14" hidden="1" x14ac:dyDescent="0.3">
      <c r="A18">
        <v>23316</v>
      </c>
      <c r="B18" t="s">
        <v>37</v>
      </c>
      <c r="C18" t="s">
        <v>39</v>
      </c>
      <c r="D18" s="1">
        <v>30000</v>
      </c>
      <c r="E18">
        <v>3</v>
      </c>
      <c r="F18" t="s">
        <v>19</v>
      </c>
      <c r="G18" t="s">
        <v>20</v>
      </c>
      <c r="H18" t="s">
        <v>18</v>
      </c>
      <c r="I18">
        <v>2</v>
      </c>
      <c r="J18" t="s">
        <v>26</v>
      </c>
      <c r="K18" t="s">
        <v>24</v>
      </c>
      <c r="L18">
        <v>59</v>
      </c>
      <c r="M18" t="str">
        <f t="shared" si="0"/>
        <v>Middle Age</v>
      </c>
      <c r="N18" t="s">
        <v>15</v>
      </c>
    </row>
    <row r="19" spans="1:14" hidden="1"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Young</v>
      </c>
      <c r="N20" t="s">
        <v>15</v>
      </c>
    </row>
    <row r="21" spans="1:14" hidden="1" x14ac:dyDescent="0.3">
      <c r="A21">
        <v>25940</v>
      </c>
      <c r="B21" t="s">
        <v>37</v>
      </c>
      <c r="C21" t="s">
        <v>39</v>
      </c>
      <c r="D21" s="1">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Young</v>
      </c>
      <c r="N22" t="s">
        <v>15</v>
      </c>
    </row>
    <row r="23" spans="1:14" x14ac:dyDescent="0.3">
      <c r="A23">
        <v>21564</v>
      </c>
      <c r="B23" t="s">
        <v>37</v>
      </c>
      <c r="C23" t="s">
        <v>38</v>
      </c>
      <c r="D23" s="1">
        <v>80000</v>
      </c>
      <c r="E23">
        <v>0</v>
      </c>
      <c r="F23" t="s">
        <v>13</v>
      </c>
      <c r="G23" t="s">
        <v>21</v>
      </c>
      <c r="H23" t="s">
        <v>15</v>
      </c>
      <c r="I23">
        <v>4</v>
      </c>
      <c r="J23" t="s">
        <v>30</v>
      </c>
      <c r="K23" t="s">
        <v>24</v>
      </c>
      <c r="L23">
        <v>35</v>
      </c>
      <c r="M23" t="str">
        <f t="shared" si="0"/>
        <v>Young</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Young</v>
      </c>
      <c r="N24" t="s">
        <v>15</v>
      </c>
    </row>
    <row r="25" spans="1:14" hidden="1" x14ac:dyDescent="0.3">
      <c r="A25">
        <v>26412</v>
      </c>
      <c r="B25" t="s">
        <v>36</v>
      </c>
      <c r="C25" t="s">
        <v>38</v>
      </c>
      <c r="D25" s="1">
        <v>80000</v>
      </c>
      <c r="E25">
        <v>5</v>
      </c>
      <c r="F25" t="s">
        <v>27</v>
      </c>
      <c r="G25" t="s">
        <v>28</v>
      </c>
      <c r="H25" t="s">
        <v>18</v>
      </c>
      <c r="I25">
        <v>3</v>
      </c>
      <c r="J25" t="s">
        <v>23</v>
      </c>
      <c r="K25" t="s">
        <v>17</v>
      </c>
      <c r="L25">
        <v>56</v>
      </c>
      <c r="M25" t="str">
        <f t="shared" si="0"/>
        <v>Middle Age</v>
      </c>
      <c r="N25" t="s">
        <v>18</v>
      </c>
    </row>
    <row r="26" spans="1:14" hidden="1" x14ac:dyDescent="0.3">
      <c r="A26">
        <v>27184</v>
      </c>
      <c r="B26" t="s">
        <v>37</v>
      </c>
      <c r="C26" t="s">
        <v>39</v>
      </c>
      <c r="D26" s="1">
        <v>40000</v>
      </c>
      <c r="E26">
        <v>2</v>
      </c>
      <c r="F26" t="s">
        <v>19</v>
      </c>
      <c r="G26" t="s">
        <v>20</v>
      </c>
      <c r="H26" t="s">
        <v>18</v>
      </c>
      <c r="I26">
        <v>1</v>
      </c>
      <c r="J26" t="s">
        <v>16</v>
      </c>
      <c r="K26" t="s">
        <v>17</v>
      </c>
      <c r="L26">
        <v>34</v>
      </c>
      <c r="M26" t="str">
        <f t="shared" si="0"/>
        <v>Adolescence</v>
      </c>
      <c r="N26" t="s">
        <v>18</v>
      </c>
    </row>
    <row r="27" spans="1:14" hidden="1" x14ac:dyDescent="0.3">
      <c r="A27">
        <v>12590</v>
      </c>
      <c r="B27" t="s">
        <v>37</v>
      </c>
      <c r="C27" t="s">
        <v>39</v>
      </c>
      <c r="D27" s="1">
        <v>30000</v>
      </c>
      <c r="E27">
        <v>1</v>
      </c>
      <c r="F27" t="s">
        <v>13</v>
      </c>
      <c r="G27" t="s">
        <v>20</v>
      </c>
      <c r="H27" t="s">
        <v>15</v>
      </c>
      <c r="I27">
        <v>0</v>
      </c>
      <c r="J27" t="s">
        <v>16</v>
      </c>
      <c r="K27" t="s">
        <v>17</v>
      </c>
      <c r="L27">
        <v>63</v>
      </c>
      <c r="M27" t="str">
        <f t="shared" si="0"/>
        <v>Middle Age</v>
      </c>
      <c r="N27" t="s">
        <v>18</v>
      </c>
    </row>
    <row r="28" spans="1:14" hidden="1" x14ac:dyDescent="0.3">
      <c r="A28">
        <v>17841</v>
      </c>
      <c r="B28" t="s">
        <v>37</v>
      </c>
      <c r="C28" t="s">
        <v>39</v>
      </c>
      <c r="D28" s="1">
        <v>30000</v>
      </c>
      <c r="E28">
        <v>0</v>
      </c>
      <c r="F28" t="s">
        <v>19</v>
      </c>
      <c r="G28" t="s">
        <v>20</v>
      </c>
      <c r="H28" t="s">
        <v>18</v>
      </c>
      <c r="I28">
        <v>1</v>
      </c>
      <c r="J28" t="s">
        <v>16</v>
      </c>
      <c r="K28" t="s">
        <v>17</v>
      </c>
      <c r="L28">
        <v>29</v>
      </c>
      <c r="M28" t="str">
        <f t="shared" si="0"/>
        <v>Adolescence</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Young</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Young</v>
      </c>
      <c r="N30" t="s">
        <v>18</v>
      </c>
    </row>
    <row r="31" spans="1:14" hidden="1" x14ac:dyDescent="0.3">
      <c r="A31">
        <v>16466</v>
      </c>
      <c r="B31" t="s">
        <v>37</v>
      </c>
      <c r="C31" t="s">
        <v>38</v>
      </c>
      <c r="D31" s="1">
        <v>20000</v>
      </c>
      <c r="E31">
        <v>0</v>
      </c>
      <c r="F31" t="s">
        <v>29</v>
      </c>
      <c r="G31" t="s">
        <v>25</v>
      </c>
      <c r="H31" t="s">
        <v>18</v>
      </c>
      <c r="I31">
        <v>2</v>
      </c>
      <c r="J31" t="s">
        <v>16</v>
      </c>
      <c r="K31" t="s">
        <v>17</v>
      </c>
      <c r="L31">
        <v>32</v>
      </c>
      <c r="M31" t="str">
        <f t="shared" si="0"/>
        <v>Adolescence</v>
      </c>
      <c r="N31" t="s">
        <v>15</v>
      </c>
    </row>
    <row r="32" spans="1:14" hidden="1" x14ac:dyDescent="0.3">
      <c r="A32">
        <v>19273</v>
      </c>
      <c r="B32" t="s">
        <v>36</v>
      </c>
      <c r="C32" t="s">
        <v>38</v>
      </c>
      <c r="D32" s="1">
        <v>20000</v>
      </c>
      <c r="E32">
        <v>2</v>
      </c>
      <c r="F32" t="s">
        <v>19</v>
      </c>
      <c r="G32" t="s">
        <v>25</v>
      </c>
      <c r="H32" t="s">
        <v>15</v>
      </c>
      <c r="I32">
        <v>0</v>
      </c>
      <c r="J32" t="s">
        <v>16</v>
      </c>
      <c r="K32" t="s">
        <v>17</v>
      </c>
      <c r="L32">
        <v>63</v>
      </c>
      <c r="M32" t="str">
        <f t="shared" si="0"/>
        <v>Middle Age</v>
      </c>
      <c r="N32" t="s">
        <v>18</v>
      </c>
    </row>
    <row r="33" spans="1:14" hidden="1" x14ac:dyDescent="0.3">
      <c r="A33">
        <v>22400</v>
      </c>
      <c r="B33" t="s">
        <v>36</v>
      </c>
      <c r="C33" t="s">
        <v>39</v>
      </c>
      <c r="D33" s="1">
        <v>10000</v>
      </c>
      <c r="E33">
        <v>0</v>
      </c>
      <c r="F33" t="s">
        <v>19</v>
      </c>
      <c r="G33" t="s">
        <v>25</v>
      </c>
      <c r="H33" t="s">
        <v>18</v>
      </c>
      <c r="I33">
        <v>1</v>
      </c>
      <c r="J33" t="s">
        <v>16</v>
      </c>
      <c r="K33" t="s">
        <v>24</v>
      </c>
      <c r="L33">
        <v>26</v>
      </c>
      <c r="M33" t="str">
        <f t="shared" si="0"/>
        <v>Adolescence</v>
      </c>
      <c r="N33" t="s">
        <v>15</v>
      </c>
    </row>
    <row r="34" spans="1:14" hidden="1" x14ac:dyDescent="0.3">
      <c r="A34">
        <v>20942</v>
      </c>
      <c r="B34" t="s">
        <v>37</v>
      </c>
      <c r="C34" t="s">
        <v>38</v>
      </c>
      <c r="D34" s="1">
        <v>20000</v>
      </c>
      <c r="E34">
        <v>0</v>
      </c>
      <c r="F34" t="s">
        <v>27</v>
      </c>
      <c r="G34" t="s">
        <v>25</v>
      </c>
      <c r="H34" t="s">
        <v>18</v>
      </c>
      <c r="I34">
        <v>1</v>
      </c>
      <c r="J34" t="s">
        <v>23</v>
      </c>
      <c r="K34" t="s">
        <v>17</v>
      </c>
      <c r="L34">
        <v>31</v>
      </c>
      <c r="M34" t="str">
        <f t="shared" si="0"/>
        <v>Adolescence</v>
      </c>
      <c r="N34" t="s">
        <v>18</v>
      </c>
    </row>
    <row r="35" spans="1:14" hidden="1"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hidden="1" x14ac:dyDescent="0.3">
      <c r="A36">
        <v>12291</v>
      </c>
      <c r="B36" t="s">
        <v>37</v>
      </c>
      <c r="C36" t="s">
        <v>39</v>
      </c>
      <c r="D36" s="1">
        <v>90000</v>
      </c>
      <c r="E36">
        <v>5</v>
      </c>
      <c r="F36" t="s">
        <v>19</v>
      </c>
      <c r="G36" t="s">
        <v>21</v>
      </c>
      <c r="H36" t="s">
        <v>18</v>
      </c>
      <c r="I36">
        <v>2</v>
      </c>
      <c r="J36" t="s">
        <v>22</v>
      </c>
      <c r="K36" t="s">
        <v>17</v>
      </c>
      <c r="L36">
        <v>62</v>
      </c>
      <c r="M36" t="str">
        <f t="shared" si="0"/>
        <v>Middle Age</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Young</v>
      </c>
      <c r="N37" t="s">
        <v>18</v>
      </c>
    </row>
    <row r="38" spans="1:14" hidden="1"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hidden="1" x14ac:dyDescent="0.3">
      <c r="A39">
        <v>27832</v>
      </c>
      <c r="B39" t="s">
        <v>37</v>
      </c>
      <c r="C39" t="s">
        <v>38</v>
      </c>
      <c r="D39" s="1">
        <v>30000</v>
      </c>
      <c r="E39">
        <v>0</v>
      </c>
      <c r="F39" t="s">
        <v>19</v>
      </c>
      <c r="G39" t="s">
        <v>20</v>
      </c>
      <c r="H39" t="s">
        <v>18</v>
      </c>
      <c r="I39">
        <v>1</v>
      </c>
      <c r="J39" t="s">
        <v>22</v>
      </c>
      <c r="K39" t="s">
        <v>17</v>
      </c>
      <c r="L39">
        <v>30</v>
      </c>
      <c r="M39" t="str">
        <f t="shared" si="0"/>
        <v>Adolescence</v>
      </c>
      <c r="N39" t="s">
        <v>18</v>
      </c>
    </row>
    <row r="40" spans="1:14" hidden="1" x14ac:dyDescent="0.3">
      <c r="A40">
        <v>26863</v>
      </c>
      <c r="B40" t="s">
        <v>37</v>
      </c>
      <c r="C40" t="s">
        <v>39</v>
      </c>
      <c r="D40" s="1">
        <v>20000</v>
      </c>
      <c r="E40">
        <v>0</v>
      </c>
      <c r="F40" t="s">
        <v>27</v>
      </c>
      <c r="G40" t="s">
        <v>25</v>
      </c>
      <c r="H40" t="s">
        <v>18</v>
      </c>
      <c r="I40">
        <v>1</v>
      </c>
      <c r="J40" t="s">
        <v>22</v>
      </c>
      <c r="K40" t="s">
        <v>17</v>
      </c>
      <c r="L40">
        <v>28</v>
      </c>
      <c r="M40" t="str">
        <f t="shared" si="0"/>
        <v>Adolescence</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Young</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Young</v>
      </c>
      <c r="N42" t="s">
        <v>18</v>
      </c>
    </row>
    <row r="43" spans="1:14" hidden="1"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Young</v>
      </c>
      <c r="N44" t="s">
        <v>18</v>
      </c>
    </row>
    <row r="45" spans="1:14" hidden="1"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Young</v>
      </c>
      <c r="N46" t="s">
        <v>15</v>
      </c>
    </row>
    <row r="47" spans="1:14" hidden="1"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hidden="1"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hidden="1"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Young</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Young</v>
      </c>
      <c r="N51" t="s">
        <v>15</v>
      </c>
    </row>
    <row r="52" spans="1:14" hidden="1" x14ac:dyDescent="0.3">
      <c r="A52">
        <v>13826</v>
      </c>
      <c r="B52" t="s">
        <v>37</v>
      </c>
      <c r="C52" t="s">
        <v>38</v>
      </c>
      <c r="D52" s="1">
        <v>30000</v>
      </c>
      <c r="E52">
        <v>0</v>
      </c>
      <c r="F52" t="s">
        <v>19</v>
      </c>
      <c r="G52" t="s">
        <v>20</v>
      </c>
      <c r="H52" t="s">
        <v>18</v>
      </c>
      <c r="I52">
        <v>1</v>
      </c>
      <c r="J52" t="s">
        <v>16</v>
      </c>
      <c r="K52" t="s">
        <v>17</v>
      </c>
      <c r="L52">
        <v>28</v>
      </c>
      <c r="M52" t="str">
        <f t="shared" si="0"/>
        <v>Adolescence</v>
      </c>
      <c r="N52" t="s">
        <v>18</v>
      </c>
    </row>
    <row r="53" spans="1:14" x14ac:dyDescent="0.3">
      <c r="A53">
        <v>20619</v>
      </c>
      <c r="B53" t="s">
        <v>37</v>
      </c>
      <c r="C53" t="s">
        <v>39</v>
      </c>
      <c r="D53" s="1">
        <v>80000</v>
      </c>
      <c r="E53">
        <v>0</v>
      </c>
      <c r="F53" t="s">
        <v>13</v>
      </c>
      <c r="G53" t="s">
        <v>21</v>
      </c>
      <c r="H53" t="s">
        <v>18</v>
      </c>
      <c r="I53">
        <v>4</v>
      </c>
      <c r="J53" t="s">
        <v>30</v>
      </c>
      <c r="K53" t="s">
        <v>24</v>
      </c>
      <c r="L53">
        <v>35</v>
      </c>
      <c r="M53" t="str">
        <f t="shared" si="0"/>
        <v>Young</v>
      </c>
      <c r="N53" t="s">
        <v>18</v>
      </c>
    </row>
    <row r="54" spans="1:14" hidden="1"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hidden="1" x14ac:dyDescent="0.3">
      <c r="A55">
        <v>24871</v>
      </c>
      <c r="B55" t="s">
        <v>37</v>
      </c>
      <c r="C55" t="s">
        <v>38</v>
      </c>
      <c r="D55" s="1">
        <v>90000</v>
      </c>
      <c r="E55">
        <v>4</v>
      </c>
      <c r="F55" t="s">
        <v>27</v>
      </c>
      <c r="G55" t="s">
        <v>28</v>
      </c>
      <c r="H55" t="s">
        <v>18</v>
      </c>
      <c r="I55">
        <v>3</v>
      </c>
      <c r="J55" t="s">
        <v>23</v>
      </c>
      <c r="K55" t="s">
        <v>17</v>
      </c>
      <c r="L55">
        <v>56</v>
      </c>
      <c r="M55" t="str">
        <f t="shared" si="0"/>
        <v>Middle Age</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Young</v>
      </c>
      <c r="N56" t="s">
        <v>18</v>
      </c>
    </row>
    <row r="57" spans="1:14" hidden="1" x14ac:dyDescent="0.3">
      <c r="A57">
        <v>28906</v>
      </c>
      <c r="B57" t="s">
        <v>36</v>
      </c>
      <c r="C57" t="s">
        <v>39</v>
      </c>
      <c r="D57" s="1">
        <v>80000</v>
      </c>
      <c r="E57">
        <v>4</v>
      </c>
      <c r="F57" t="s">
        <v>27</v>
      </c>
      <c r="G57" t="s">
        <v>21</v>
      </c>
      <c r="H57" t="s">
        <v>15</v>
      </c>
      <c r="I57">
        <v>2</v>
      </c>
      <c r="J57" t="s">
        <v>30</v>
      </c>
      <c r="K57" t="s">
        <v>17</v>
      </c>
      <c r="L57">
        <v>54</v>
      </c>
      <c r="M57" t="str">
        <f t="shared" si="0"/>
        <v>Middle Age</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Young</v>
      </c>
      <c r="N58" t="s">
        <v>15</v>
      </c>
    </row>
    <row r="59" spans="1:14" hidden="1" x14ac:dyDescent="0.3">
      <c r="A59">
        <v>20567</v>
      </c>
      <c r="B59" t="s">
        <v>36</v>
      </c>
      <c r="C59" t="s">
        <v>39</v>
      </c>
      <c r="D59" s="1">
        <v>130000</v>
      </c>
      <c r="E59">
        <v>4</v>
      </c>
      <c r="F59" t="s">
        <v>19</v>
      </c>
      <c r="G59" t="s">
        <v>21</v>
      </c>
      <c r="H59" t="s">
        <v>18</v>
      </c>
      <c r="I59">
        <v>4</v>
      </c>
      <c r="J59" t="s">
        <v>23</v>
      </c>
      <c r="K59" t="s">
        <v>17</v>
      </c>
      <c r="L59">
        <v>61</v>
      </c>
      <c r="M59" t="str">
        <f t="shared" si="0"/>
        <v>Middle Age</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Young</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Young</v>
      </c>
      <c r="N61" t="s">
        <v>15</v>
      </c>
    </row>
    <row r="62" spans="1:14" hidden="1"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Young</v>
      </c>
      <c r="N63" t="s">
        <v>18</v>
      </c>
    </row>
    <row r="64" spans="1:14" hidden="1"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30</v>
      </c>
      <c r="K65" t="s">
        <v>24</v>
      </c>
      <c r="L65">
        <v>41</v>
      </c>
      <c r="M65" t="str">
        <f t="shared" si="0"/>
        <v>Young</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Young</v>
      </c>
      <c r="N66" t="s">
        <v>15</v>
      </c>
    </row>
    <row r="67" spans="1:14" hidden="1" x14ac:dyDescent="0.3">
      <c r="A67">
        <v>29337</v>
      </c>
      <c r="B67" t="s">
        <v>37</v>
      </c>
      <c r="C67" t="s">
        <v>39</v>
      </c>
      <c r="D67" s="1">
        <v>30000</v>
      </c>
      <c r="E67">
        <v>2</v>
      </c>
      <c r="F67" t="s">
        <v>19</v>
      </c>
      <c r="G67" t="s">
        <v>20</v>
      </c>
      <c r="H67" t="s">
        <v>15</v>
      </c>
      <c r="I67">
        <v>2</v>
      </c>
      <c r="J67" t="s">
        <v>23</v>
      </c>
      <c r="K67" t="s">
        <v>24</v>
      </c>
      <c r="L67">
        <v>68</v>
      </c>
      <c r="M67" t="str">
        <f t="shared" ref="M67:M130" si="1">IF(L67&gt;=65, "Old", IF(L67&gt;=45, "Middle Age", IF(L67&gt;=35, "Young", IF(L67&gt;=25, "Adolescence", "Invalid"))))</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Young</v>
      </c>
      <c r="N68" t="s">
        <v>15</v>
      </c>
    </row>
    <row r="69" spans="1:14" hidden="1" x14ac:dyDescent="0.3">
      <c r="A69">
        <v>25303</v>
      </c>
      <c r="B69" t="s">
        <v>37</v>
      </c>
      <c r="C69" t="s">
        <v>39</v>
      </c>
      <c r="D69" s="1">
        <v>30000</v>
      </c>
      <c r="E69">
        <v>0</v>
      </c>
      <c r="F69" t="s">
        <v>27</v>
      </c>
      <c r="G69" t="s">
        <v>25</v>
      </c>
      <c r="H69" t="s">
        <v>15</v>
      </c>
      <c r="I69">
        <v>1</v>
      </c>
      <c r="J69" t="s">
        <v>22</v>
      </c>
      <c r="K69" t="s">
        <v>17</v>
      </c>
      <c r="L69">
        <v>33</v>
      </c>
      <c r="M69" t="str">
        <f t="shared" si="1"/>
        <v>Adolescence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Young</v>
      </c>
      <c r="N70" t="s">
        <v>15</v>
      </c>
    </row>
    <row r="71" spans="1:14" hidden="1" x14ac:dyDescent="0.3">
      <c r="A71">
        <v>16438</v>
      </c>
      <c r="B71" t="s">
        <v>36</v>
      </c>
      <c r="C71" t="s">
        <v>38</v>
      </c>
      <c r="D71" s="1">
        <v>10000</v>
      </c>
      <c r="E71">
        <v>0</v>
      </c>
      <c r="F71" t="s">
        <v>29</v>
      </c>
      <c r="G71" t="s">
        <v>25</v>
      </c>
      <c r="H71" t="s">
        <v>18</v>
      </c>
      <c r="I71">
        <v>2</v>
      </c>
      <c r="J71" t="s">
        <v>16</v>
      </c>
      <c r="K71" t="s">
        <v>17</v>
      </c>
      <c r="L71">
        <v>30</v>
      </c>
      <c r="M71" t="str">
        <f t="shared" si="1"/>
        <v>Adolescence</v>
      </c>
      <c r="N71" t="s">
        <v>18</v>
      </c>
    </row>
    <row r="72" spans="1:14" x14ac:dyDescent="0.3">
      <c r="A72">
        <v>14238</v>
      </c>
      <c r="B72" t="s">
        <v>36</v>
      </c>
      <c r="C72" t="s">
        <v>39</v>
      </c>
      <c r="D72" s="1">
        <v>120000</v>
      </c>
      <c r="E72">
        <v>0</v>
      </c>
      <c r="F72" t="s">
        <v>29</v>
      </c>
      <c r="G72" t="s">
        <v>21</v>
      </c>
      <c r="H72" t="s">
        <v>15</v>
      </c>
      <c r="I72">
        <v>4</v>
      </c>
      <c r="J72" t="s">
        <v>30</v>
      </c>
      <c r="K72" t="s">
        <v>24</v>
      </c>
      <c r="L72">
        <v>36</v>
      </c>
      <c r="M72" t="str">
        <f t="shared" si="1"/>
        <v>Young</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Young</v>
      </c>
      <c r="N73" t="s">
        <v>18</v>
      </c>
    </row>
    <row r="74" spans="1:14" hidden="1"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Young</v>
      </c>
      <c r="N75" t="s">
        <v>15</v>
      </c>
    </row>
    <row r="76" spans="1:14" hidden="1" x14ac:dyDescent="0.3">
      <c r="A76">
        <v>14517</v>
      </c>
      <c r="B76" t="s">
        <v>36</v>
      </c>
      <c r="C76" t="s">
        <v>38</v>
      </c>
      <c r="D76" s="1">
        <v>20000</v>
      </c>
      <c r="E76">
        <v>3</v>
      </c>
      <c r="F76" t="s">
        <v>27</v>
      </c>
      <c r="G76" t="s">
        <v>14</v>
      </c>
      <c r="H76" t="s">
        <v>18</v>
      </c>
      <c r="I76">
        <v>2</v>
      </c>
      <c r="J76" t="s">
        <v>26</v>
      </c>
      <c r="K76" t="s">
        <v>24</v>
      </c>
      <c r="L76">
        <v>62</v>
      </c>
      <c r="M76" t="str">
        <f t="shared" si="1"/>
        <v>Middle Age</v>
      </c>
      <c r="N76" t="s">
        <v>18</v>
      </c>
    </row>
    <row r="77" spans="1:14" hidden="1" x14ac:dyDescent="0.3">
      <c r="A77">
        <v>12678</v>
      </c>
      <c r="B77" t="s">
        <v>37</v>
      </c>
      <c r="C77" t="s">
        <v>38</v>
      </c>
      <c r="D77" s="1">
        <v>130000</v>
      </c>
      <c r="E77">
        <v>4</v>
      </c>
      <c r="F77" t="s">
        <v>27</v>
      </c>
      <c r="G77" t="s">
        <v>28</v>
      </c>
      <c r="H77" t="s">
        <v>15</v>
      </c>
      <c r="I77">
        <v>4</v>
      </c>
      <c r="J77" t="s">
        <v>16</v>
      </c>
      <c r="K77" t="s">
        <v>24</v>
      </c>
      <c r="L77">
        <v>31</v>
      </c>
      <c r="M77" t="str">
        <f t="shared" si="1"/>
        <v>Adolescence</v>
      </c>
      <c r="N77" t="s">
        <v>18</v>
      </c>
    </row>
    <row r="78" spans="1:14" hidden="1" x14ac:dyDescent="0.3">
      <c r="A78">
        <v>16188</v>
      </c>
      <c r="B78" t="s">
        <v>37</v>
      </c>
      <c r="C78" t="s">
        <v>38</v>
      </c>
      <c r="D78" s="1">
        <v>20000</v>
      </c>
      <c r="E78">
        <v>0</v>
      </c>
      <c r="F78" t="s">
        <v>29</v>
      </c>
      <c r="G78" t="s">
        <v>25</v>
      </c>
      <c r="H78" t="s">
        <v>18</v>
      </c>
      <c r="I78">
        <v>2</v>
      </c>
      <c r="J78" t="s">
        <v>26</v>
      </c>
      <c r="K78" t="s">
        <v>17</v>
      </c>
      <c r="L78">
        <v>26</v>
      </c>
      <c r="M78" t="str">
        <f t="shared" si="1"/>
        <v>Adolescence</v>
      </c>
      <c r="N78" t="s">
        <v>18</v>
      </c>
    </row>
    <row r="79" spans="1:14" hidden="1" x14ac:dyDescent="0.3">
      <c r="A79">
        <v>27969</v>
      </c>
      <c r="B79" t="s">
        <v>36</v>
      </c>
      <c r="C79" t="s">
        <v>39</v>
      </c>
      <c r="D79" s="1">
        <v>80000</v>
      </c>
      <c r="E79">
        <v>0</v>
      </c>
      <c r="F79" t="s">
        <v>13</v>
      </c>
      <c r="G79" t="s">
        <v>21</v>
      </c>
      <c r="H79" t="s">
        <v>15</v>
      </c>
      <c r="I79">
        <v>2</v>
      </c>
      <c r="J79" t="s">
        <v>30</v>
      </c>
      <c r="K79" t="s">
        <v>24</v>
      </c>
      <c r="L79">
        <v>29</v>
      </c>
      <c r="M79" t="str">
        <f t="shared" si="1"/>
        <v>Adolescence</v>
      </c>
      <c r="N79" t="s">
        <v>15</v>
      </c>
    </row>
    <row r="80" spans="1:14" hidden="1"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hidden="1" x14ac:dyDescent="0.3">
      <c r="A81">
        <v>27745</v>
      </c>
      <c r="B81" t="s">
        <v>37</v>
      </c>
      <c r="C81" t="s">
        <v>39</v>
      </c>
      <c r="D81" s="1">
        <v>40000</v>
      </c>
      <c r="E81">
        <v>2</v>
      </c>
      <c r="F81" t="s">
        <v>13</v>
      </c>
      <c r="G81" t="s">
        <v>28</v>
      </c>
      <c r="H81" t="s">
        <v>15</v>
      </c>
      <c r="I81">
        <v>2</v>
      </c>
      <c r="J81" t="s">
        <v>23</v>
      </c>
      <c r="K81" t="s">
        <v>24</v>
      </c>
      <c r="L81">
        <v>63</v>
      </c>
      <c r="M81" t="str">
        <f t="shared" si="1"/>
        <v>Middle Age</v>
      </c>
      <c r="N81" t="s">
        <v>15</v>
      </c>
    </row>
    <row r="82" spans="1:14" hidden="1"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Young</v>
      </c>
      <c r="N83" t="s">
        <v>18</v>
      </c>
    </row>
    <row r="84" spans="1:14" hidden="1"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hidden="1" x14ac:dyDescent="0.3">
      <c r="A85">
        <v>28412</v>
      </c>
      <c r="B85" t="s">
        <v>37</v>
      </c>
      <c r="C85" t="s">
        <v>39</v>
      </c>
      <c r="D85" s="1">
        <v>20000</v>
      </c>
      <c r="E85">
        <v>0</v>
      </c>
      <c r="F85" t="s">
        <v>27</v>
      </c>
      <c r="G85" t="s">
        <v>25</v>
      </c>
      <c r="H85" t="s">
        <v>18</v>
      </c>
      <c r="I85">
        <v>1</v>
      </c>
      <c r="J85" t="s">
        <v>22</v>
      </c>
      <c r="K85" t="s">
        <v>17</v>
      </c>
      <c r="L85">
        <v>29</v>
      </c>
      <c r="M85" t="str">
        <f t="shared" si="1"/>
        <v>Adolescence</v>
      </c>
      <c r="N85" t="s">
        <v>18</v>
      </c>
    </row>
    <row r="86" spans="1:14" hidden="1"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hidden="1" x14ac:dyDescent="0.3">
      <c r="A87">
        <v>16514</v>
      </c>
      <c r="B87" t="s">
        <v>37</v>
      </c>
      <c r="C87" t="s">
        <v>39</v>
      </c>
      <c r="D87" s="1">
        <v>10000</v>
      </c>
      <c r="E87">
        <v>0</v>
      </c>
      <c r="F87" t="s">
        <v>19</v>
      </c>
      <c r="G87" t="s">
        <v>25</v>
      </c>
      <c r="H87" t="s">
        <v>15</v>
      </c>
      <c r="I87">
        <v>1</v>
      </c>
      <c r="J87" t="s">
        <v>26</v>
      </c>
      <c r="K87" t="s">
        <v>24</v>
      </c>
      <c r="L87">
        <v>26</v>
      </c>
      <c r="M87" t="str">
        <f t="shared" si="1"/>
        <v>Adolescence</v>
      </c>
      <c r="N87" t="s">
        <v>15</v>
      </c>
    </row>
    <row r="88" spans="1:14" hidden="1"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Young</v>
      </c>
      <c r="N89" t="s">
        <v>18</v>
      </c>
    </row>
    <row r="90" spans="1:14" hidden="1" x14ac:dyDescent="0.3">
      <c r="A90">
        <v>24119</v>
      </c>
      <c r="B90" t="s">
        <v>37</v>
      </c>
      <c r="C90" t="s">
        <v>39</v>
      </c>
      <c r="D90" s="1">
        <v>30000</v>
      </c>
      <c r="E90">
        <v>0</v>
      </c>
      <c r="F90" t="s">
        <v>19</v>
      </c>
      <c r="G90" t="s">
        <v>20</v>
      </c>
      <c r="H90" t="s">
        <v>18</v>
      </c>
      <c r="I90">
        <v>1</v>
      </c>
      <c r="J90" t="s">
        <v>22</v>
      </c>
      <c r="K90" t="s">
        <v>17</v>
      </c>
      <c r="L90">
        <v>29</v>
      </c>
      <c r="M90" t="str">
        <f t="shared" si="1"/>
        <v>Adolescence</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Young</v>
      </c>
      <c r="N91" t="s">
        <v>15</v>
      </c>
    </row>
    <row r="92" spans="1:14" hidden="1" x14ac:dyDescent="0.3">
      <c r="A92">
        <v>26886</v>
      </c>
      <c r="B92" t="s">
        <v>37</v>
      </c>
      <c r="C92" t="s">
        <v>38</v>
      </c>
      <c r="D92" s="1">
        <v>30000</v>
      </c>
      <c r="E92">
        <v>0</v>
      </c>
      <c r="F92" t="s">
        <v>19</v>
      </c>
      <c r="G92" t="s">
        <v>20</v>
      </c>
      <c r="H92" t="s">
        <v>18</v>
      </c>
      <c r="I92">
        <v>1</v>
      </c>
      <c r="J92" t="s">
        <v>16</v>
      </c>
      <c r="K92" t="s">
        <v>17</v>
      </c>
      <c r="L92">
        <v>29</v>
      </c>
      <c r="M92" t="str">
        <f t="shared" si="1"/>
        <v>Adolescence</v>
      </c>
      <c r="N92" t="s">
        <v>15</v>
      </c>
    </row>
    <row r="93" spans="1:14" hidden="1" x14ac:dyDescent="0.3">
      <c r="A93">
        <v>28436</v>
      </c>
      <c r="B93" t="s">
        <v>37</v>
      </c>
      <c r="C93" t="s">
        <v>39</v>
      </c>
      <c r="D93" s="1">
        <v>30000</v>
      </c>
      <c r="E93">
        <v>0</v>
      </c>
      <c r="F93" t="s">
        <v>19</v>
      </c>
      <c r="G93" t="s">
        <v>20</v>
      </c>
      <c r="H93" t="s">
        <v>18</v>
      </c>
      <c r="I93">
        <v>1</v>
      </c>
      <c r="J93" t="s">
        <v>16</v>
      </c>
      <c r="K93" t="s">
        <v>17</v>
      </c>
      <c r="L93">
        <v>30</v>
      </c>
      <c r="M93" t="str">
        <f t="shared" si="1"/>
        <v>Adolescence</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Young</v>
      </c>
      <c r="N94" t="s">
        <v>15</v>
      </c>
    </row>
    <row r="95" spans="1:14" hidden="1" x14ac:dyDescent="0.3">
      <c r="A95">
        <v>15608</v>
      </c>
      <c r="B95" t="s">
        <v>37</v>
      </c>
      <c r="C95" t="s">
        <v>38</v>
      </c>
      <c r="D95" s="1">
        <v>30000</v>
      </c>
      <c r="E95">
        <v>0</v>
      </c>
      <c r="F95" t="s">
        <v>19</v>
      </c>
      <c r="G95" t="s">
        <v>20</v>
      </c>
      <c r="H95" t="s">
        <v>18</v>
      </c>
      <c r="I95">
        <v>1</v>
      </c>
      <c r="J95" t="s">
        <v>22</v>
      </c>
      <c r="K95" t="s">
        <v>17</v>
      </c>
      <c r="L95">
        <v>33</v>
      </c>
      <c r="M95" t="str">
        <f t="shared" si="1"/>
        <v>Adolescence</v>
      </c>
      <c r="N95" t="s">
        <v>18</v>
      </c>
    </row>
    <row r="96" spans="1:14" hidden="1" x14ac:dyDescent="0.3">
      <c r="A96">
        <v>16487</v>
      </c>
      <c r="B96" t="s">
        <v>37</v>
      </c>
      <c r="C96" t="s">
        <v>38</v>
      </c>
      <c r="D96" s="1">
        <v>30000</v>
      </c>
      <c r="E96">
        <v>3</v>
      </c>
      <c r="F96" t="s">
        <v>27</v>
      </c>
      <c r="G96" t="s">
        <v>14</v>
      </c>
      <c r="H96" t="s">
        <v>15</v>
      </c>
      <c r="I96">
        <v>2</v>
      </c>
      <c r="J96" t="s">
        <v>23</v>
      </c>
      <c r="K96" t="s">
        <v>24</v>
      </c>
      <c r="L96">
        <v>55</v>
      </c>
      <c r="M96" t="str">
        <f t="shared" si="1"/>
        <v>Middle Age</v>
      </c>
      <c r="N96" t="s">
        <v>18</v>
      </c>
    </row>
    <row r="97" spans="1:14" hidden="1" x14ac:dyDescent="0.3">
      <c r="A97">
        <v>17197</v>
      </c>
      <c r="B97" t="s">
        <v>37</v>
      </c>
      <c r="C97" t="s">
        <v>38</v>
      </c>
      <c r="D97" s="1">
        <v>90000</v>
      </c>
      <c r="E97">
        <v>5</v>
      </c>
      <c r="F97" t="s">
        <v>19</v>
      </c>
      <c r="G97" t="s">
        <v>21</v>
      </c>
      <c r="H97" t="s">
        <v>15</v>
      </c>
      <c r="I97">
        <v>2</v>
      </c>
      <c r="J97" t="s">
        <v>30</v>
      </c>
      <c r="K97" t="s">
        <v>17</v>
      </c>
      <c r="L97">
        <v>62</v>
      </c>
      <c r="M97" t="str">
        <f t="shared" si="1"/>
        <v>Middle Age</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Young</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Young</v>
      </c>
      <c r="N99" t="s">
        <v>15</v>
      </c>
    </row>
    <row r="100" spans="1:14" hidden="1" x14ac:dyDescent="0.3">
      <c r="A100">
        <v>19441</v>
      </c>
      <c r="B100" t="s">
        <v>36</v>
      </c>
      <c r="C100" t="s">
        <v>39</v>
      </c>
      <c r="D100" s="1">
        <v>40000</v>
      </c>
      <c r="E100">
        <v>0</v>
      </c>
      <c r="F100" t="s">
        <v>31</v>
      </c>
      <c r="G100" t="s">
        <v>20</v>
      </c>
      <c r="H100" t="s">
        <v>15</v>
      </c>
      <c r="I100">
        <v>0</v>
      </c>
      <c r="J100" t="s">
        <v>16</v>
      </c>
      <c r="K100" t="s">
        <v>17</v>
      </c>
      <c r="L100">
        <v>25</v>
      </c>
      <c r="M100" t="str">
        <f t="shared" si="1"/>
        <v>Adolescence</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Young</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Young</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Young</v>
      </c>
      <c r="N103" t="s">
        <v>15</v>
      </c>
    </row>
    <row r="104" spans="1:14" hidden="1"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hidden="1"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hidden="1"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hidden="1" x14ac:dyDescent="0.3">
      <c r="A107">
        <v>22707</v>
      </c>
      <c r="B107" t="s">
        <v>37</v>
      </c>
      <c r="C107" t="s">
        <v>38</v>
      </c>
      <c r="D107" s="1">
        <v>30000</v>
      </c>
      <c r="E107">
        <v>0</v>
      </c>
      <c r="F107" t="s">
        <v>19</v>
      </c>
      <c r="G107" t="s">
        <v>20</v>
      </c>
      <c r="H107" t="s">
        <v>18</v>
      </c>
      <c r="I107">
        <v>1</v>
      </c>
      <c r="J107" t="s">
        <v>22</v>
      </c>
      <c r="K107" t="s">
        <v>17</v>
      </c>
      <c r="L107">
        <v>30</v>
      </c>
      <c r="M107" t="str">
        <f t="shared" si="1"/>
        <v>Adolescence</v>
      </c>
      <c r="N107" t="s">
        <v>18</v>
      </c>
    </row>
    <row r="108" spans="1:14" hidden="1"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hidden="1"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Young</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Young</v>
      </c>
      <c r="N111" t="s">
        <v>15</v>
      </c>
    </row>
    <row r="112" spans="1:14" hidden="1"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Young</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Young</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Young</v>
      </c>
      <c r="N115" t="s">
        <v>15</v>
      </c>
    </row>
    <row r="116" spans="1:14" hidden="1" x14ac:dyDescent="0.3">
      <c r="A116">
        <v>15030</v>
      </c>
      <c r="B116" t="s">
        <v>36</v>
      </c>
      <c r="C116" t="s">
        <v>39</v>
      </c>
      <c r="D116" s="1">
        <v>20000</v>
      </c>
      <c r="E116">
        <v>0</v>
      </c>
      <c r="F116" t="s">
        <v>13</v>
      </c>
      <c r="G116" t="s">
        <v>20</v>
      </c>
      <c r="H116" t="s">
        <v>15</v>
      </c>
      <c r="I116">
        <v>0</v>
      </c>
      <c r="J116" t="s">
        <v>16</v>
      </c>
      <c r="K116" t="s">
        <v>24</v>
      </c>
      <c r="L116">
        <v>26</v>
      </c>
      <c r="M116" t="str">
        <f t="shared" si="1"/>
        <v>Adolescence</v>
      </c>
      <c r="N116" t="s">
        <v>15</v>
      </c>
    </row>
    <row r="117" spans="1:14" hidden="1" x14ac:dyDescent="0.3">
      <c r="A117">
        <v>24140</v>
      </c>
      <c r="B117" t="s">
        <v>37</v>
      </c>
      <c r="C117" t="s">
        <v>39</v>
      </c>
      <c r="D117" s="1">
        <v>10000</v>
      </c>
      <c r="E117">
        <v>0</v>
      </c>
      <c r="F117" t="s">
        <v>31</v>
      </c>
      <c r="G117" t="s">
        <v>25</v>
      </c>
      <c r="H117" t="s">
        <v>18</v>
      </c>
      <c r="I117">
        <v>0</v>
      </c>
      <c r="J117" t="s">
        <v>16</v>
      </c>
      <c r="K117" t="s">
        <v>17</v>
      </c>
      <c r="L117">
        <v>30</v>
      </c>
      <c r="M117" t="str">
        <f t="shared" si="1"/>
        <v>Adolescence</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Young</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Young</v>
      </c>
      <c r="N119" t="s">
        <v>15</v>
      </c>
    </row>
    <row r="120" spans="1:14" hidden="1" x14ac:dyDescent="0.3">
      <c r="A120">
        <v>19914</v>
      </c>
      <c r="B120" t="s">
        <v>36</v>
      </c>
      <c r="C120" t="s">
        <v>39</v>
      </c>
      <c r="D120" s="1">
        <v>80000</v>
      </c>
      <c r="E120">
        <v>5</v>
      </c>
      <c r="F120" t="s">
        <v>13</v>
      </c>
      <c r="G120" t="s">
        <v>28</v>
      </c>
      <c r="H120" t="s">
        <v>15</v>
      </c>
      <c r="I120">
        <v>2</v>
      </c>
      <c r="J120" t="s">
        <v>22</v>
      </c>
      <c r="K120" t="s">
        <v>17</v>
      </c>
      <c r="L120">
        <v>62</v>
      </c>
      <c r="M120" t="str">
        <f t="shared" si="1"/>
        <v>Middle Age</v>
      </c>
      <c r="N120" t="s">
        <v>18</v>
      </c>
    </row>
    <row r="121" spans="1:14" hidden="1" x14ac:dyDescent="0.3">
      <c r="A121">
        <v>12871</v>
      </c>
      <c r="B121" t="s">
        <v>37</v>
      </c>
      <c r="C121" t="s">
        <v>38</v>
      </c>
      <c r="D121" s="1">
        <v>30000</v>
      </c>
      <c r="E121">
        <v>0</v>
      </c>
      <c r="F121" t="s">
        <v>19</v>
      </c>
      <c r="G121" t="s">
        <v>20</v>
      </c>
      <c r="H121" t="s">
        <v>18</v>
      </c>
      <c r="I121">
        <v>1</v>
      </c>
      <c r="J121" t="s">
        <v>22</v>
      </c>
      <c r="K121" t="s">
        <v>17</v>
      </c>
      <c r="L121">
        <v>29</v>
      </c>
      <c r="M121" t="str">
        <f t="shared" si="1"/>
        <v>Adolescence</v>
      </c>
      <c r="N121" t="s">
        <v>18</v>
      </c>
    </row>
    <row r="122" spans="1:14" hidden="1"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hidden="1"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hidden="1" x14ac:dyDescent="0.3">
      <c r="A124">
        <v>12344</v>
      </c>
      <c r="B124" t="s">
        <v>37</v>
      </c>
      <c r="C124" t="s">
        <v>38</v>
      </c>
      <c r="D124" s="1">
        <v>80000</v>
      </c>
      <c r="E124">
        <v>0</v>
      </c>
      <c r="F124" t="s">
        <v>13</v>
      </c>
      <c r="G124" t="s">
        <v>21</v>
      </c>
      <c r="H124" t="s">
        <v>18</v>
      </c>
      <c r="I124">
        <v>3</v>
      </c>
      <c r="J124" t="s">
        <v>30</v>
      </c>
      <c r="K124" t="s">
        <v>24</v>
      </c>
      <c r="L124">
        <v>31</v>
      </c>
      <c r="M124" t="str">
        <f t="shared" si="1"/>
        <v>Adolescence</v>
      </c>
      <c r="N124" t="s">
        <v>18</v>
      </c>
    </row>
    <row r="125" spans="1:14" hidden="1" x14ac:dyDescent="0.3">
      <c r="A125">
        <v>23627</v>
      </c>
      <c r="B125" t="s">
        <v>37</v>
      </c>
      <c r="C125" t="s">
        <v>38</v>
      </c>
      <c r="D125" s="1">
        <v>100000</v>
      </c>
      <c r="E125">
        <v>3</v>
      </c>
      <c r="F125" t="s">
        <v>19</v>
      </c>
      <c r="G125" t="s">
        <v>28</v>
      </c>
      <c r="H125" t="s">
        <v>18</v>
      </c>
      <c r="I125">
        <v>4</v>
      </c>
      <c r="J125" t="s">
        <v>23</v>
      </c>
      <c r="K125" t="s">
        <v>17</v>
      </c>
      <c r="L125">
        <v>56</v>
      </c>
      <c r="M125" t="str">
        <f t="shared" si="1"/>
        <v>Middle Age</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Young</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Young</v>
      </c>
      <c r="N127" t="s">
        <v>18</v>
      </c>
    </row>
    <row r="128" spans="1:14" hidden="1" x14ac:dyDescent="0.3">
      <c r="A128">
        <v>12716</v>
      </c>
      <c r="B128" t="s">
        <v>37</v>
      </c>
      <c r="C128" t="s">
        <v>39</v>
      </c>
      <c r="D128" s="1">
        <v>30000</v>
      </c>
      <c r="E128">
        <v>0</v>
      </c>
      <c r="F128" t="s">
        <v>19</v>
      </c>
      <c r="G128" t="s">
        <v>20</v>
      </c>
      <c r="H128" t="s">
        <v>15</v>
      </c>
      <c r="I128">
        <v>1</v>
      </c>
      <c r="J128" t="s">
        <v>22</v>
      </c>
      <c r="K128" t="s">
        <v>17</v>
      </c>
      <c r="L128">
        <v>32</v>
      </c>
      <c r="M128" t="str">
        <f t="shared" si="1"/>
        <v>Adolescence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Young</v>
      </c>
      <c r="N129" t="s">
        <v>18</v>
      </c>
    </row>
    <row r="130" spans="1:14" hidden="1"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IF(L131&gt;=65, "Old", IF(L131&gt;=45, "Middle Age", IF(L131&gt;=35, "Young", IF(L131&gt;=25, "Adolescence", "Invalid"))))</f>
        <v>Young</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Young</v>
      </c>
      <c r="N132" t="s">
        <v>18</v>
      </c>
    </row>
    <row r="133" spans="1:14" hidden="1" x14ac:dyDescent="0.3">
      <c r="A133">
        <v>14192</v>
      </c>
      <c r="B133" t="s">
        <v>36</v>
      </c>
      <c r="C133" t="s">
        <v>39</v>
      </c>
      <c r="D133" s="1">
        <v>90000</v>
      </c>
      <c r="E133">
        <v>4</v>
      </c>
      <c r="F133" t="s">
        <v>27</v>
      </c>
      <c r="G133" t="s">
        <v>28</v>
      </c>
      <c r="H133" t="s">
        <v>15</v>
      </c>
      <c r="I133">
        <v>3</v>
      </c>
      <c r="J133" t="s">
        <v>23</v>
      </c>
      <c r="K133" t="s">
        <v>17</v>
      </c>
      <c r="L133">
        <v>56</v>
      </c>
      <c r="M133" t="str">
        <f t="shared" si="2"/>
        <v>Middle Age</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Young</v>
      </c>
      <c r="N134" t="s">
        <v>15</v>
      </c>
    </row>
    <row r="135" spans="1:14" hidden="1"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Young</v>
      </c>
      <c r="N136" t="s">
        <v>18</v>
      </c>
    </row>
    <row r="137" spans="1:14" hidden="1"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Young</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Young</v>
      </c>
      <c r="N139" t="s">
        <v>18</v>
      </c>
    </row>
    <row r="140" spans="1:14" hidden="1" x14ac:dyDescent="0.3">
      <c r="A140">
        <v>24273</v>
      </c>
      <c r="B140" t="s">
        <v>36</v>
      </c>
      <c r="C140" t="s">
        <v>38</v>
      </c>
      <c r="D140" s="1">
        <v>20000</v>
      </c>
      <c r="E140">
        <v>2</v>
      </c>
      <c r="F140" t="s">
        <v>29</v>
      </c>
      <c r="G140" t="s">
        <v>20</v>
      </c>
      <c r="H140" t="s">
        <v>15</v>
      </c>
      <c r="I140">
        <v>2</v>
      </c>
      <c r="J140" t="s">
        <v>23</v>
      </c>
      <c r="K140" t="s">
        <v>24</v>
      </c>
      <c r="L140">
        <v>55</v>
      </c>
      <c r="M140" t="str">
        <f t="shared" si="2"/>
        <v>Middle Age</v>
      </c>
      <c r="N140" t="s">
        <v>15</v>
      </c>
    </row>
    <row r="141" spans="1:14" hidden="1" x14ac:dyDescent="0.3">
      <c r="A141">
        <v>26547</v>
      </c>
      <c r="B141" t="s">
        <v>37</v>
      </c>
      <c r="C141" t="s">
        <v>38</v>
      </c>
      <c r="D141" s="1">
        <v>30000</v>
      </c>
      <c r="E141">
        <v>2</v>
      </c>
      <c r="F141" t="s">
        <v>19</v>
      </c>
      <c r="G141" t="s">
        <v>20</v>
      </c>
      <c r="H141" t="s">
        <v>18</v>
      </c>
      <c r="I141">
        <v>2</v>
      </c>
      <c r="J141" t="s">
        <v>23</v>
      </c>
      <c r="K141" t="s">
        <v>24</v>
      </c>
      <c r="L141">
        <v>60</v>
      </c>
      <c r="M141" t="str">
        <f t="shared" si="2"/>
        <v>Middle Age</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Young</v>
      </c>
      <c r="N142" t="s">
        <v>15</v>
      </c>
    </row>
    <row r="143" spans="1:14" hidden="1" x14ac:dyDescent="0.3">
      <c r="A143">
        <v>23993</v>
      </c>
      <c r="B143" t="s">
        <v>37</v>
      </c>
      <c r="C143" t="s">
        <v>38</v>
      </c>
      <c r="D143" s="1">
        <v>10000</v>
      </c>
      <c r="E143">
        <v>0</v>
      </c>
      <c r="F143" t="s">
        <v>19</v>
      </c>
      <c r="G143" t="s">
        <v>25</v>
      </c>
      <c r="H143" t="s">
        <v>18</v>
      </c>
      <c r="I143">
        <v>1</v>
      </c>
      <c r="J143" t="s">
        <v>16</v>
      </c>
      <c r="K143" t="s">
        <v>24</v>
      </c>
      <c r="L143">
        <v>26</v>
      </c>
      <c r="M143" t="str">
        <f t="shared" si="2"/>
        <v>Adolescence</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Young</v>
      </c>
      <c r="N144" t="s">
        <v>15</v>
      </c>
    </row>
    <row r="145" spans="1:14" hidden="1" x14ac:dyDescent="0.3">
      <c r="A145">
        <v>16614</v>
      </c>
      <c r="B145" t="s">
        <v>36</v>
      </c>
      <c r="C145" t="s">
        <v>38</v>
      </c>
      <c r="D145" s="1">
        <v>80000</v>
      </c>
      <c r="E145">
        <v>0</v>
      </c>
      <c r="F145" t="s">
        <v>13</v>
      </c>
      <c r="G145" t="s">
        <v>21</v>
      </c>
      <c r="H145" t="s">
        <v>15</v>
      </c>
      <c r="I145">
        <v>3</v>
      </c>
      <c r="J145" t="s">
        <v>30</v>
      </c>
      <c r="K145" t="s">
        <v>24</v>
      </c>
      <c r="L145">
        <v>32</v>
      </c>
      <c r="M145" t="str">
        <f t="shared" si="2"/>
        <v>Adolescence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Young</v>
      </c>
      <c r="N146" t="s">
        <v>15</v>
      </c>
    </row>
    <row r="147" spans="1:14" hidden="1" x14ac:dyDescent="0.3">
      <c r="A147">
        <v>20729</v>
      </c>
      <c r="B147" t="s">
        <v>36</v>
      </c>
      <c r="C147" t="s">
        <v>38</v>
      </c>
      <c r="D147" s="1">
        <v>40000</v>
      </c>
      <c r="E147">
        <v>2</v>
      </c>
      <c r="F147" t="s">
        <v>19</v>
      </c>
      <c r="G147" t="s">
        <v>20</v>
      </c>
      <c r="H147" t="s">
        <v>18</v>
      </c>
      <c r="I147">
        <v>1</v>
      </c>
      <c r="J147" t="s">
        <v>16</v>
      </c>
      <c r="K147" t="s">
        <v>17</v>
      </c>
      <c r="L147">
        <v>34</v>
      </c>
      <c r="M147" t="str">
        <f t="shared" si="2"/>
        <v>Adolescence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Young</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Young</v>
      </c>
      <c r="N149" t="s">
        <v>15</v>
      </c>
    </row>
    <row r="150" spans="1:14" hidden="1" x14ac:dyDescent="0.3">
      <c r="A150">
        <v>19675</v>
      </c>
      <c r="B150" t="s">
        <v>36</v>
      </c>
      <c r="C150" t="s">
        <v>39</v>
      </c>
      <c r="D150" s="1">
        <v>20000</v>
      </c>
      <c r="E150">
        <v>4</v>
      </c>
      <c r="F150" t="s">
        <v>27</v>
      </c>
      <c r="G150" t="s">
        <v>14</v>
      </c>
      <c r="H150" t="s">
        <v>15</v>
      </c>
      <c r="I150">
        <v>2</v>
      </c>
      <c r="J150" t="s">
        <v>23</v>
      </c>
      <c r="K150" t="s">
        <v>24</v>
      </c>
      <c r="L150">
        <v>60</v>
      </c>
      <c r="M150" t="str">
        <f t="shared" si="2"/>
        <v>Middle Age</v>
      </c>
      <c r="N150" t="s">
        <v>18</v>
      </c>
    </row>
    <row r="151" spans="1:14" hidden="1" x14ac:dyDescent="0.3">
      <c r="A151">
        <v>12728</v>
      </c>
      <c r="B151" t="s">
        <v>37</v>
      </c>
      <c r="C151" t="s">
        <v>39</v>
      </c>
      <c r="D151" s="1">
        <v>30000</v>
      </c>
      <c r="E151">
        <v>0</v>
      </c>
      <c r="F151" t="s">
        <v>19</v>
      </c>
      <c r="G151" t="s">
        <v>20</v>
      </c>
      <c r="H151" t="s">
        <v>18</v>
      </c>
      <c r="I151">
        <v>1</v>
      </c>
      <c r="J151" t="s">
        <v>26</v>
      </c>
      <c r="K151" t="s">
        <v>17</v>
      </c>
      <c r="L151">
        <v>27</v>
      </c>
      <c r="M151" t="str">
        <f t="shared" si="2"/>
        <v>Adolescence</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Young</v>
      </c>
      <c r="N152" t="s">
        <v>15</v>
      </c>
    </row>
    <row r="153" spans="1:14" hidden="1"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hidden="1" x14ac:dyDescent="0.3">
      <c r="A154">
        <v>17845</v>
      </c>
      <c r="B154" t="s">
        <v>37</v>
      </c>
      <c r="C154" t="s">
        <v>38</v>
      </c>
      <c r="D154" s="1">
        <v>20000</v>
      </c>
      <c r="E154">
        <v>0</v>
      </c>
      <c r="F154" t="s">
        <v>29</v>
      </c>
      <c r="G154" t="s">
        <v>25</v>
      </c>
      <c r="H154" t="s">
        <v>18</v>
      </c>
      <c r="I154">
        <v>2</v>
      </c>
      <c r="J154" t="s">
        <v>26</v>
      </c>
      <c r="K154" t="s">
        <v>17</v>
      </c>
      <c r="L154">
        <v>32</v>
      </c>
      <c r="M154" t="str">
        <f t="shared" si="2"/>
        <v>Adolescence</v>
      </c>
      <c r="N154" t="s">
        <v>18</v>
      </c>
    </row>
    <row r="155" spans="1:14" hidden="1"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Young</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Young</v>
      </c>
      <c r="N157" t="s">
        <v>15</v>
      </c>
    </row>
    <row r="158" spans="1:14" hidden="1" x14ac:dyDescent="0.3">
      <c r="A158">
        <v>12664</v>
      </c>
      <c r="B158" t="s">
        <v>36</v>
      </c>
      <c r="C158" t="s">
        <v>38</v>
      </c>
      <c r="D158" s="1">
        <v>130000</v>
      </c>
      <c r="E158">
        <v>5</v>
      </c>
      <c r="F158" t="s">
        <v>19</v>
      </c>
      <c r="G158" t="s">
        <v>21</v>
      </c>
      <c r="H158" t="s">
        <v>15</v>
      </c>
      <c r="I158">
        <v>4</v>
      </c>
      <c r="J158" t="s">
        <v>16</v>
      </c>
      <c r="K158" t="s">
        <v>17</v>
      </c>
      <c r="L158">
        <v>59</v>
      </c>
      <c r="M158" t="str">
        <f t="shared" si="2"/>
        <v>Middle Age</v>
      </c>
      <c r="N158" t="s">
        <v>18</v>
      </c>
    </row>
    <row r="159" spans="1:14" hidden="1"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hidden="1"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hidden="1"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Young</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Young</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Young</v>
      </c>
      <c r="N164" t="s">
        <v>15</v>
      </c>
    </row>
    <row r="165" spans="1:14" hidden="1"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hidden="1" x14ac:dyDescent="0.3">
      <c r="A166">
        <v>22402</v>
      </c>
      <c r="B166" t="s">
        <v>36</v>
      </c>
      <c r="C166" t="s">
        <v>39</v>
      </c>
      <c r="D166" s="1">
        <v>10000</v>
      </c>
      <c r="E166">
        <v>0</v>
      </c>
      <c r="F166" t="s">
        <v>19</v>
      </c>
      <c r="G166" t="s">
        <v>25</v>
      </c>
      <c r="H166" t="s">
        <v>15</v>
      </c>
      <c r="I166">
        <v>1</v>
      </c>
      <c r="J166" t="s">
        <v>22</v>
      </c>
      <c r="K166" t="s">
        <v>24</v>
      </c>
      <c r="L166">
        <v>25</v>
      </c>
      <c r="M166" t="str">
        <f t="shared" si="2"/>
        <v>Adolescence</v>
      </c>
      <c r="N166" t="s">
        <v>15</v>
      </c>
    </row>
    <row r="167" spans="1:14" hidden="1" x14ac:dyDescent="0.3">
      <c r="A167">
        <v>15465</v>
      </c>
      <c r="B167" t="s">
        <v>36</v>
      </c>
      <c r="C167" t="s">
        <v>38</v>
      </c>
      <c r="D167" s="1">
        <v>10000</v>
      </c>
      <c r="E167">
        <v>0</v>
      </c>
      <c r="F167" t="s">
        <v>19</v>
      </c>
      <c r="G167" t="s">
        <v>25</v>
      </c>
      <c r="H167" t="s">
        <v>18</v>
      </c>
      <c r="I167">
        <v>1</v>
      </c>
      <c r="J167" t="s">
        <v>16</v>
      </c>
      <c r="K167" t="s">
        <v>24</v>
      </c>
      <c r="L167">
        <v>25</v>
      </c>
      <c r="M167" t="str">
        <f t="shared" si="2"/>
        <v>Adolescence</v>
      </c>
      <c r="N167" t="s">
        <v>18</v>
      </c>
    </row>
    <row r="168" spans="1:14" hidden="1"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30</v>
      </c>
      <c r="K169" t="s">
        <v>24</v>
      </c>
      <c r="L169">
        <v>35</v>
      </c>
      <c r="M169" t="str">
        <f t="shared" si="2"/>
        <v>Young</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Young</v>
      </c>
      <c r="N170" t="s">
        <v>15</v>
      </c>
    </row>
    <row r="171" spans="1:14" hidden="1"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hidden="1" x14ac:dyDescent="0.3">
      <c r="A172">
        <v>17203</v>
      </c>
      <c r="B172" t="s">
        <v>36</v>
      </c>
      <c r="C172" t="s">
        <v>38</v>
      </c>
      <c r="D172" s="1">
        <v>130000</v>
      </c>
      <c r="E172">
        <v>4</v>
      </c>
      <c r="F172" t="s">
        <v>19</v>
      </c>
      <c r="G172" t="s">
        <v>21</v>
      </c>
      <c r="H172" t="s">
        <v>15</v>
      </c>
      <c r="I172">
        <v>4</v>
      </c>
      <c r="J172" t="s">
        <v>23</v>
      </c>
      <c r="K172" t="s">
        <v>17</v>
      </c>
      <c r="L172">
        <v>61</v>
      </c>
      <c r="M172" t="str">
        <f t="shared" si="2"/>
        <v>Middle Age</v>
      </c>
      <c r="N172" t="s">
        <v>15</v>
      </c>
    </row>
    <row r="173" spans="1:14" hidden="1" x14ac:dyDescent="0.3">
      <c r="A173">
        <v>18144</v>
      </c>
      <c r="B173" t="s">
        <v>36</v>
      </c>
      <c r="C173" t="s">
        <v>38</v>
      </c>
      <c r="D173" s="1">
        <v>80000</v>
      </c>
      <c r="E173">
        <v>5</v>
      </c>
      <c r="F173" t="s">
        <v>13</v>
      </c>
      <c r="G173" t="s">
        <v>28</v>
      </c>
      <c r="H173" t="s">
        <v>15</v>
      </c>
      <c r="I173">
        <v>2</v>
      </c>
      <c r="J173" t="s">
        <v>22</v>
      </c>
      <c r="K173" t="s">
        <v>17</v>
      </c>
      <c r="L173">
        <v>61</v>
      </c>
      <c r="M173" t="str">
        <f t="shared" si="2"/>
        <v>Middle Age</v>
      </c>
      <c r="N173" t="s">
        <v>18</v>
      </c>
    </row>
    <row r="174" spans="1:14" hidden="1" x14ac:dyDescent="0.3">
      <c r="A174">
        <v>23963</v>
      </c>
      <c r="B174" t="s">
        <v>36</v>
      </c>
      <c r="C174" t="s">
        <v>39</v>
      </c>
      <c r="D174" s="1">
        <v>10000</v>
      </c>
      <c r="E174">
        <v>0</v>
      </c>
      <c r="F174" t="s">
        <v>29</v>
      </c>
      <c r="G174" t="s">
        <v>25</v>
      </c>
      <c r="H174" t="s">
        <v>18</v>
      </c>
      <c r="I174">
        <v>2</v>
      </c>
      <c r="J174" t="s">
        <v>16</v>
      </c>
      <c r="K174" t="s">
        <v>17</v>
      </c>
      <c r="L174">
        <v>33</v>
      </c>
      <c r="M174" t="str">
        <f t="shared" si="2"/>
        <v>Adolescence</v>
      </c>
      <c r="N174" t="s">
        <v>18</v>
      </c>
    </row>
    <row r="175" spans="1:14" hidden="1" x14ac:dyDescent="0.3">
      <c r="A175">
        <v>17907</v>
      </c>
      <c r="B175" t="s">
        <v>36</v>
      </c>
      <c r="C175" t="s">
        <v>38</v>
      </c>
      <c r="D175" s="1">
        <v>10000</v>
      </c>
      <c r="E175">
        <v>0</v>
      </c>
      <c r="F175" t="s">
        <v>19</v>
      </c>
      <c r="G175" t="s">
        <v>25</v>
      </c>
      <c r="H175" t="s">
        <v>15</v>
      </c>
      <c r="I175">
        <v>1</v>
      </c>
      <c r="J175" t="s">
        <v>22</v>
      </c>
      <c r="K175" t="s">
        <v>24</v>
      </c>
      <c r="L175">
        <v>27</v>
      </c>
      <c r="M175" t="str">
        <f t="shared" si="2"/>
        <v>Adolescence</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Young</v>
      </c>
      <c r="N176" t="s">
        <v>15</v>
      </c>
    </row>
    <row r="177" spans="1:14" hidden="1"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hidden="1" x14ac:dyDescent="0.3">
      <c r="A178">
        <v>12253</v>
      </c>
      <c r="B178" t="s">
        <v>37</v>
      </c>
      <c r="C178" t="s">
        <v>38</v>
      </c>
      <c r="D178" s="1">
        <v>20000</v>
      </c>
      <c r="E178">
        <v>0</v>
      </c>
      <c r="F178" t="s">
        <v>19</v>
      </c>
      <c r="G178" t="s">
        <v>25</v>
      </c>
      <c r="H178" t="s">
        <v>15</v>
      </c>
      <c r="I178">
        <v>0</v>
      </c>
      <c r="J178" t="s">
        <v>16</v>
      </c>
      <c r="K178" t="s">
        <v>24</v>
      </c>
      <c r="L178">
        <v>29</v>
      </c>
      <c r="M178" t="str">
        <f t="shared" si="2"/>
        <v>Adolescence</v>
      </c>
      <c r="N178" t="s">
        <v>15</v>
      </c>
    </row>
    <row r="179" spans="1:14" hidden="1"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hidden="1" x14ac:dyDescent="0.3">
      <c r="A180">
        <v>14191</v>
      </c>
      <c r="B180" t="s">
        <v>36</v>
      </c>
      <c r="C180" t="s">
        <v>39</v>
      </c>
      <c r="D180" s="1">
        <v>160000</v>
      </c>
      <c r="E180">
        <v>4</v>
      </c>
      <c r="F180" t="s">
        <v>19</v>
      </c>
      <c r="G180" t="s">
        <v>21</v>
      </c>
      <c r="H180" t="s">
        <v>18</v>
      </c>
      <c r="I180">
        <v>2</v>
      </c>
      <c r="J180" t="s">
        <v>30</v>
      </c>
      <c r="K180" t="s">
        <v>17</v>
      </c>
      <c r="L180">
        <v>55</v>
      </c>
      <c r="M180" t="str">
        <f t="shared" si="2"/>
        <v>Middle Age</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Young</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Young</v>
      </c>
      <c r="N182" t="s">
        <v>18</v>
      </c>
    </row>
    <row r="183" spans="1:14" hidden="1" x14ac:dyDescent="0.3">
      <c r="A183">
        <v>22170</v>
      </c>
      <c r="B183" t="s">
        <v>36</v>
      </c>
      <c r="C183" t="s">
        <v>38</v>
      </c>
      <c r="D183" s="1">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Young</v>
      </c>
      <c r="N184" t="s">
        <v>18</v>
      </c>
    </row>
    <row r="185" spans="1:14" hidden="1"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hidden="1" x14ac:dyDescent="0.3">
      <c r="A186">
        <v>28918</v>
      </c>
      <c r="B186" t="s">
        <v>36</v>
      </c>
      <c r="C186" t="s">
        <v>38</v>
      </c>
      <c r="D186" s="1">
        <v>130000</v>
      </c>
      <c r="E186">
        <v>4</v>
      </c>
      <c r="F186" t="s">
        <v>27</v>
      </c>
      <c r="G186" t="s">
        <v>28</v>
      </c>
      <c r="H186" t="s">
        <v>18</v>
      </c>
      <c r="I186">
        <v>4</v>
      </c>
      <c r="J186" t="s">
        <v>30</v>
      </c>
      <c r="K186" t="s">
        <v>17</v>
      </c>
      <c r="L186">
        <v>58</v>
      </c>
      <c r="M186" t="str">
        <f t="shared" si="2"/>
        <v>Middle Age</v>
      </c>
      <c r="N186" t="s">
        <v>18</v>
      </c>
    </row>
    <row r="187" spans="1:14" hidden="1"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hidden="1" x14ac:dyDescent="0.3">
      <c r="A188">
        <v>11047</v>
      </c>
      <c r="B188" t="s">
        <v>36</v>
      </c>
      <c r="C188" t="s">
        <v>38</v>
      </c>
      <c r="D188" s="1">
        <v>30000</v>
      </c>
      <c r="E188">
        <v>3</v>
      </c>
      <c r="F188" t="s">
        <v>27</v>
      </c>
      <c r="G188" t="s">
        <v>14</v>
      </c>
      <c r="H188" t="s">
        <v>18</v>
      </c>
      <c r="I188">
        <v>2</v>
      </c>
      <c r="J188" t="s">
        <v>26</v>
      </c>
      <c r="K188" t="s">
        <v>24</v>
      </c>
      <c r="L188">
        <v>56</v>
      </c>
      <c r="M188" t="str">
        <f t="shared" si="2"/>
        <v>Middle Age</v>
      </c>
      <c r="N188" t="s">
        <v>15</v>
      </c>
    </row>
    <row r="189" spans="1:14" hidden="1" x14ac:dyDescent="0.3">
      <c r="A189">
        <v>18151</v>
      </c>
      <c r="B189" t="s">
        <v>37</v>
      </c>
      <c r="C189" t="s">
        <v>39</v>
      </c>
      <c r="D189" s="1">
        <v>80000</v>
      </c>
      <c r="E189">
        <v>5</v>
      </c>
      <c r="F189" t="s">
        <v>19</v>
      </c>
      <c r="G189" t="s">
        <v>21</v>
      </c>
      <c r="H189" t="s">
        <v>18</v>
      </c>
      <c r="I189">
        <v>2</v>
      </c>
      <c r="J189" t="s">
        <v>30</v>
      </c>
      <c r="K189" t="s">
        <v>17</v>
      </c>
      <c r="L189">
        <v>59</v>
      </c>
      <c r="M189" t="str">
        <f t="shared" si="2"/>
        <v>Middle Age</v>
      </c>
      <c r="N189" t="s">
        <v>18</v>
      </c>
    </row>
    <row r="190" spans="1:14" hidden="1" x14ac:dyDescent="0.3">
      <c r="A190">
        <v>20606</v>
      </c>
      <c r="B190" t="s">
        <v>36</v>
      </c>
      <c r="C190" t="s">
        <v>38</v>
      </c>
      <c r="D190" s="1">
        <v>70000</v>
      </c>
      <c r="E190">
        <v>0</v>
      </c>
      <c r="F190" t="s">
        <v>13</v>
      </c>
      <c r="G190" t="s">
        <v>21</v>
      </c>
      <c r="H190" t="s">
        <v>15</v>
      </c>
      <c r="I190">
        <v>4</v>
      </c>
      <c r="J190" t="s">
        <v>30</v>
      </c>
      <c r="K190" t="s">
        <v>24</v>
      </c>
      <c r="L190">
        <v>32</v>
      </c>
      <c r="M190" t="str">
        <f t="shared" si="2"/>
        <v>Adolescence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Young</v>
      </c>
      <c r="N191" t="s">
        <v>15</v>
      </c>
    </row>
    <row r="192" spans="1:14" hidden="1" x14ac:dyDescent="0.3">
      <c r="A192">
        <v>16489</v>
      </c>
      <c r="B192" t="s">
        <v>36</v>
      </c>
      <c r="C192" t="s">
        <v>39</v>
      </c>
      <c r="D192" s="1">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Young</v>
      </c>
      <c r="N193" t="s">
        <v>15</v>
      </c>
    </row>
    <row r="194" spans="1:14" hidden="1" x14ac:dyDescent="0.3">
      <c r="A194">
        <v>15682</v>
      </c>
      <c r="B194" t="s">
        <v>37</v>
      </c>
      <c r="C194" t="s">
        <v>38</v>
      </c>
      <c r="D194" s="1">
        <v>80000</v>
      </c>
      <c r="E194">
        <v>5</v>
      </c>
      <c r="F194" t="s">
        <v>13</v>
      </c>
      <c r="G194" t="s">
        <v>28</v>
      </c>
      <c r="H194" t="s">
        <v>15</v>
      </c>
      <c r="I194">
        <v>2</v>
      </c>
      <c r="J194" t="s">
        <v>30</v>
      </c>
      <c r="K194" t="s">
        <v>17</v>
      </c>
      <c r="L194">
        <v>62</v>
      </c>
      <c r="M194" t="str">
        <f t="shared" si="2"/>
        <v>Middle Age</v>
      </c>
      <c r="N194" t="s">
        <v>18</v>
      </c>
    </row>
    <row r="195" spans="1:14" x14ac:dyDescent="0.3">
      <c r="A195">
        <v>26032</v>
      </c>
      <c r="B195" t="s">
        <v>36</v>
      </c>
      <c r="C195" t="s">
        <v>38</v>
      </c>
      <c r="D195" s="1">
        <v>70000</v>
      </c>
      <c r="E195">
        <v>5</v>
      </c>
      <c r="F195" t="s">
        <v>13</v>
      </c>
      <c r="G195" t="s">
        <v>21</v>
      </c>
      <c r="H195" t="s">
        <v>15</v>
      </c>
      <c r="I195">
        <v>4</v>
      </c>
      <c r="J195" t="s">
        <v>30</v>
      </c>
      <c r="K195" t="s">
        <v>24</v>
      </c>
      <c r="L195">
        <v>41</v>
      </c>
      <c r="M195" t="str">
        <f t="shared" ref="M195:M258" si="3">IF(L195&gt;=65, "Old", IF(L195&gt;=45, "Middle Age", IF(L195&gt;=35, "Young", IF(L195&gt;=25, "Adolescence", "Invalid"))))</f>
        <v>Young</v>
      </c>
      <c r="N195" t="s">
        <v>18</v>
      </c>
    </row>
    <row r="196" spans="1:14" hidden="1" x14ac:dyDescent="0.3">
      <c r="A196">
        <v>17843</v>
      </c>
      <c r="B196" t="s">
        <v>37</v>
      </c>
      <c r="C196" t="s">
        <v>38</v>
      </c>
      <c r="D196" s="1">
        <v>10000</v>
      </c>
      <c r="E196">
        <v>0</v>
      </c>
      <c r="F196" t="s">
        <v>29</v>
      </c>
      <c r="G196" t="s">
        <v>25</v>
      </c>
      <c r="H196" t="s">
        <v>18</v>
      </c>
      <c r="I196">
        <v>2</v>
      </c>
      <c r="J196" t="s">
        <v>16</v>
      </c>
      <c r="K196" t="s">
        <v>17</v>
      </c>
      <c r="L196">
        <v>32</v>
      </c>
      <c r="M196" t="str">
        <f t="shared" si="3"/>
        <v>Adolescence</v>
      </c>
      <c r="N196" t="s">
        <v>18</v>
      </c>
    </row>
    <row r="197" spans="1:14" hidden="1" x14ac:dyDescent="0.3">
      <c r="A197">
        <v>25559</v>
      </c>
      <c r="B197" t="s">
        <v>37</v>
      </c>
      <c r="C197" t="s">
        <v>39</v>
      </c>
      <c r="D197" s="1">
        <v>20000</v>
      </c>
      <c r="E197">
        <v>0</v>
      </c>
      <c r="F197" t="s">
        <v>13</v>
      </c>
      <c r="G197" t="s">
        <v>20</v>
      </c>
      <c r="H197" t="s">
        <v>15</v>
      </c>
      <c r="I197">
        <v>0</v>
      </c>
      <c r="J197" t="s">
        <v>16</v>
      </c>
      <c r="K197" t="s">
        <v>24</v>
      </c>
      <c r="L197">
        <v>25</v>
      </c>
      <c r="M197" t="str">
        <f t="shared" si="3"/>
        <v>Adolescence</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Young</v>
      </c>
      <c r="N198" t="s">
        <v>18</v>
      </c>
    </row>
    <row r="199" spans="1:14" hidden="1"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Young</v>
      </c>
      <c r="N200" t="s">
        <v>15</v>
      </c>
    </row>
    <row r="201" spans="1:14" hidden="1" x14ac:dyDescent="0.3">
      <c r="A201">
        <v>11453</v>
      </c>
      <c r="B201" t="s">
        <v>37</v>
      </c>
      <c r="C201" t="s">
        <v>39</v>
      </c>
      <c r="D201" s="1">
        <v>80000</v>
      </c>
      <c r="E201">
        <v>0</v>
      </c>
      <c r="F201" t="s">
        <v>13</v>
      </c>
      <c r="G201" t="s">
        <v>21</v>
      </c>
      <c r="H201" t="s">
        <v>18</v>
      </c>
      <c r="I201">
        <v>3</v>
      </c>
      <c r="J201" t="s">
        <v>30</v>
      </c>
      <c r="K201" t="s">
        <v>24</v>
      </c>
      <c r="L201">
        <v>33</v>
      </c>
      <c r="M201" t="str">
        <f t="shared" si="3"/>
        <v>Adolescence</v>
      </c>
      <c r="N201" t="s">
        <v>15</v>
      </c>
    </row>
    <row r="202" spans="1:14" hidden="1" x14ac:dyDescent="0.3">
      <c r="A202">
        <v>24584</v>
      </c>
      <c r="B202" t="s">
        <v>37</v>
      </c>
      <c r="C202" t="s">
        <v>39</v>
      </c>
      <c r="D202" s="1">
        <v>60000</v>
      </c>
      <c r="E202">
        <v>0</v>
      </c>
      <c r="F202" t="s">
        <v>13</v>
      </c>
      <c r="G202" t="s">
        <v>21</v>
      </c>
      <c r="H202" t="s">
        <v>18</v>
      </c>
      <c r="I202">
        <v>3</v>
      </c>
      <c r="J202" t="s">
        <v>22</v>
      </c>
      <c r="K202" t="s">
        <v>24</v>
      </c>
      <c r="L202">
        <v>31</v>
      </c>
      <c r="M202" t="str">
        <f t="shared" si="3"/>
        <v>Adolescence</v>
      </c>
      <c r="N202" t="s">
        <v>18</v>
      </c>
    </row>
    <row r="203" spans="1:14" hidden="1" x14ac:dyDescent="0.3">
      <c r="A203">
        <v>12585</v>
      </c>
      <c r="B203" t="s">
        <v>36</v>
      </c>
      <c r="C203" t="s">
        <v>39</v>
      </c>
      <c r="D203" s="1">
        <v>10000</v>
      </c>
      <c r="E203">
        <v>1</v>
      </c>
      <c r="F203" t="s">
        <v>27</v>
      </c>
      <c r="G203" t="s">
        <v>25</v>
      </c>
      <c r="H203" t="s">
        <v>15</v>
      </c>
      <c r="I203">
        <v>0</v>
      </c>
      <c r="J203" t="s">
        <v>22</v>
      </c>
      <c r="K203" t="s">
        <v>24</v>
      </c>
      <c r="L203">
        <v>27</v>
      </c>
      <c r="M203" t="str">
        <f t="shared" si="3"/>
        <v>Adolescence</v>
      </c>
      <c r="N203" t="s">
        <v>15</v>
      </c>
    </row>
    <row r="204" spans="1:14" hidden="1" x14ac:dyDescent="0.3">
      <c r="A204">
        <v>18626</v>
      </c>
      <c r="B204" t="s">
        <v>37</v>
      </c>
      <c r="C204" t="s">
        <v>39</v>
      </c>
      <c r="D204" s="1">
        <v>40000</v>
      </c>
      <c r="E204">
        <v>2</v>
      </c>
      <c r="F204" t="s">
        <v>19</v>
      </c>
      <c r="G204" t="s">
        <v>20</v>
      </c>
      <c r="H204" t="s">
        <v>15</v>
      </c>
      <c r="I204">
        <v>0</v>
      </c>
      <c r="J204" t="s">
        <v>26</v>
      </c>
      <c r="K204" t="s">
        <v>17</v>
      </c>
      <c r="L204">
        <v>33</v>
      </c>
      <c r="M204" t="str">
        <f t="shared" si="3"/>
        <v>Adolescence</v>
      </c>
      <c r="N204" t="s">
        <v>15</v>
      </c>
    </row>
    <row r="205" spans="1:14" hidden="1"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hidden="1"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hidden="1"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hidden="1" x14ac:dyDescent="0.3">
      <c r="A208">
        <v>11415</v>
      </c>
      <c r="B208" t="s">
        <v>37</v>
      </c>
      <c r="C208" t="s">
        <v>39</v>
      </c>
      <c r="D208" s="1">
        <v>90000</v>
      </c>
      <c r="E208">
        <v>5</v>
      </c>
      <c r="F208" t="s">
        <v>19</v>
      </c>
      <c r="G208" t="s">
        <v>21</v>
      </c>
      <c r="H208" t="s">
        <v>18</v>
      </c>
      <c r="I208">
        <v>2</v>
      </c>
      <c r="J208" t="s">
        <v>30</v>
      </c>
      <c r="K208" t="s">
        <v>17</v>
      </c>
      <c r="L208">
        <v>62</v>
      </c>
      <c r="M208" t="str">
        <f t="shared" si="3"/>
        <v>Middle Age</v>
      </c>
      <c r="N208" t="s">
        <v>18</v>
      </c>
    </row>
    <row r="209" spans="1:14" hidden="1" x14ac:dyDescent="0.3">
      <c r="A209">
        <v>28729</v>
      </c>
      <c r="B209" t="s">
        <v>37</v>
      </c>
      <c r="C209" t="s">
        <v>38</v>
      </c>
      <c r="D209" s="1">
        <v>20000</v>
      </c>
      <c r="E209">
        <v>0</v>
      </c>
      <c r="F209" t="s">
        <v>29</v>
      </c>
      <c r="G209" t="s">
        <v>25</v>
      </c>
      <c r="H209" t="s">
        <v>15</v>
      </c>
      <c r="I209">
        <v>2</v>
      </c>
      <c r="J209" t="s">
        <v>26</v>
      </c>
      <c r="K209" t="s">
        <v>17</v>
      </c>
      <c r="L209">
        <v>26</v>
      </c>
      <c r="M209" t="str">
        <f t="shared" si="3"/>
        <v>Adolescence</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Young</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Young</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Young</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Young</v>
      </c>
      <c r="N213" t="s">
        <v>15</v>
      </c>
    </row>
    <row r="214" spans="1:14" hidden="1" x14ac:dyDescent="0.3">
      <c r="A214">
        <v>20946</v>
      </c>
      <c r="B214" t="s">
        <v>37</v>
      </c>
      <c r="C214" t="s">
        <v>38</v>
      </c>
      <c r="D214" s="1">
        <v>30000</v>
      </c>
      <c r="E214">
        <v>0</v>
      </c>
      <c r="F214" t="s">
        <v>19</v>
      </c>
      <c r="G214" t="s">
        <v>20</v>
      </c>
      <c r="H214" t="s">
        <v>18</v>
      </c>
      <c r="I214">
        <v>1</v>
      </c>
      <c r="J214" t="s">
        <v>22</v>
      </c>
      <c r="K214" t="s">
        <v>17</v>
      </c>
      <c r="L214">
        <v>30</v>
      </c>
      <c r="M214" t="str">
        <f t="shared" si="3"/>
        <v>Adolescence</v>
      </c>
      <c r="N214" t="s">
        <v>18</v>
      </c>
    </row>
    <row r="215" spans="1:14" hidden="1" x14ac:dyDescent="0.3">
      <c r="A215">
        <v>11451</v>
      </c>
      <c r="B215" t="s">
        <v>37</v>
      </c>
      <c r="C215" t="s">
        <v>39</v>
      </c>
      <c r="D215" s="1">
        <v>70000</v>
      </c>
      <c r="E215">
        <v>0</v>
      </c>
      <c r="F215" t="s">
        <v>13</v>
      </c>
      <c r="G215" t="s">
        <v>21</v>
      </c>
      <c r="H215" t="s">
        <v>18</v>
      </c>
      <c r="I215">
        <v>4</v>
      </c>
      <c r="J215" t="s">
        <v>30</v>
      </c>
      <c r="K215" t="s">
        <v>24</v>
      </c>
      <c r="L215">
        <v>31</v>
      </c>
      <c r="M215" t="str">
        <f t="shared" si="3"/>
        <v>Adolescence</v>
      </c>
      <c r="N215" t="s">
        <v>15</v>
      </c>
    </row>
    <row r="216" spans="1:14" hidden="1"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hidden="1"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hidden="1"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hidden="1" x14ac:dyDescent="0.3">
      <c r="A219">
        <v>13673</v>
      </c>
      <c r="B219" t="s">
        <v>37</v>
      </c>
      <c r="C219" t="s">
        <v>38</v>
      </c>
      <c r="D219" s="1">
        <v>20000</v>
      </c>
      <c r="E219">
        <v>0</v>
      </c>
      <c r="F219" t="s">
        <v>29</v>
      </c>
      <c r="G219" t="s">
        <v>25</v>
      </c>
      <c r="H219" t="s">
        <v>18</v>
      </c>
      <c r="I219">
        <v>2</v>
      </c>
      <c r="J219" t="s">
        <v>16</v>
      </c>
      <c r="K219" t="s">
        <v>17</v>
      </c>
      <c r="L219">
        <v>25</v>
      </c>
      <c r="M219" t="str">
        <f t="shared" si="3"/>
        <v>Adolescence</v>
      </c>
      <c r="N219" t="s">
        <v>18</v>
      </c>
    </row>
    <row r="220" spans="1:14" hidden="1"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hidden="1" x14ac:dyDescent="0.3">
      <c r="A221">
        <v>22399</v>
      </c>
      <c r="B221" t="s">
        <v>37</v>
      </c>
      <c r="C221" t="s">
        <v>39</v>
      </c>
      <c r="D221" s="1">
        <v>10000</v>
      </c>
      <c r="E221">
        <v>0</v>
      </c>
      <c r="F221" t="s">
        <v>19</v>
      </c>
      <c r="G221" t="s">
        <v>25</v>
      </c>
      <c r="H221" t="s">
        <v>15</v>
      </c>
      <c r="I221">
        <v>1</v>
      </c>
      <c r="J221" t="s">
        <v>26</v>
      </c>
      <c r="K221" t="s">
        <v>24</v>
      </c>
      <c r="L221">
        <v>26</v>
      </c>
      <c r="M221" t="str">
        <f t="shared" si="3"/>
        <v>Adolescence</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Young</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Young</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Young</v>
      </c>
      <c r="N224" t="s">
        <v>18</v>
      </c>
    </row>
    <row r="225" spans="1:14" x14ac:dyDescent="0.3">
      <c r="A225">
        <v>18711</v>
      </c>
      <c r="B225" t="s">
        <v>37</v>
      </c>
      <c r="C225" t="s">
        <v>38</v>
      </c>
      <c r="D225" s="1">
        <v>70000</v>
      </c>
      <c r="E225">
        <v>5</v>
      </c>
      <c r="F225" t="s">
        <v>13</v>
      </c>
      <c r="G225" t="s">
        <v>21</v>
      </c>
      <c r="H225" t="s">
        <v>15</v>
      </c>
      <c r="I225">
        <v>4</v>
      </c>
      <c r="J225" t="s">
        <v>30</v>
      </c>
      <c r="K225" t="s">
        <v>24</v>
      </c>
      <c r="L225">
        <v>39</v>
      </c>
      <c r="M225" t="str">
        <f t="shared" si="3"/>
        <v>Young</v>
      </c>
      <c r="N225" t="s">
        <v>18</v>
      </c>
    </row>
    <row r="226" spans="1:14" hidden="1"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Young</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Young</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Young</v>
      </c>
      <c r="N229" t="s">
        <v>18</v>
      </c>
    </row>
    <row r="230" spans="1:14" hidden="1"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hidden="1" x14ac:dyDescent="0.3">
      <c r="A231">
        <v>28915</v>
      </c>
      <c r="B231" t="s">
        <v>37</v>
      </c>
      <c r="C231" t="s">
        <v>39</v>
      </c>
      <c r="D231" s="1">
        <v>80000</v>
      </c>
      <c r="E231">
        <v>5</v>
      </c>
      <c r="F231" t="s">
        <v>27</v>
      </c>
      <c r="G231" t="s">
        <v>28</v>
      </c>
      <c r="H231" t="s">
        <v>15</v>
      </c>
      <c r="I231">
        <v>3</v>
      </c>
      <c r="J231" t="s">
        <v>30</v>
      </c>
      <c r="K231" t="s">
        <v>17</v>
      </c>
      <c r="L231">
        <v>57</v>
      </c>
      <c r="M231" t="str">
        <f t="shared" si="3"/>
        <v>Middle Age</v>
      </c>
      <c r="N231" t="s">
        <v>18</v>
      </c>
    </row>
    <row r="232" spans="1:14" hidden="1" x14ac:dyDescent="0.3">
      <c r="A232">
        <v>22830</v>
      </c>
      <c r="B232" t="s">
        <v>36</v>
      </c>
      <c r="C232" t="s">
        <v>39</v>
      </c>
      <c r="D232" s="1">
        <v>120000</v>
      </c>
      <c r="E232">
        <v>4</v>
      </c>
      <c r="F232" t="s">
        <v>19</v>
      </c>
      <c r="G232" t="s">
        <v>28</v>
      </c>
      <c r="H232" t="s">
        <v>15</v>
      </c>
      <c r="I232">
        <v>3</v>
      </c>
      <c r="J232" t="s">
        <v>30</v>
      </c>
      <c r="K232" t="s">
        <v>17</v>
      </c>
      <c r="L232">
        <v>56</v>
      </c>
      <c r="M232" t="str">
        <f t="shared" si="3"/>
        <v>Middle Age</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Young</v>
      </c>
      <c r="N233" t="s">
        <v>15</v>
      </c>
    </row>
    <row r="234" spans="1:14" hidden="1"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hidden="1" x14ac:dyDescent="0.3">
      <c r="A235">
        <v>24174</v>
      </c>
      <c r="B235" t="s">
        <v>36</v>
      </c>
      <c r="C235" t="s">
        <v>39</v>
      </c>
      <c r="D235" s="1">
        <v>20000</v>
      </c>
      <c r="E235">
        <v>0</v>
      </c>
      <c r="F235" t="s">
        <v>13</v>
      </c>
      <c r="G235" t="s">
        <v>20</v>
      </c>
      <c r="H235" t="s">
        <v>15</v>
      </c>
      <c r="I235">
        <v>0</v>
      </c>
      <c r="J235" t="s">
        <v>16</v>
      </c>
      <c r="K235" t="s">
        <v>24</v>
      </c>
      <c r="L235">
        <v>27</v>
      </c>
      <c r="M235" t="str">
        <f t="shared" si="3"/>
        <v>Adolescence</v>
      </c>
      <c r="N235" t="s">
        <v>15</v>
      </c>
    </row>
    <row r="236" spans="1:14" x14ac:dyDescent="0.3">
      <c r="A236">
        <v>24611</v>
      </c>
      <c r="B236" t="s">
        <v>37</v>
      </c>
      <c r="C236" t="s">
        <v>39</v>
      </c>
      <c r="D236" s="1">
        <v>90000</v>
      </c>
      <c r="E236">
        <v>0</v>
      </c>
      <c r="F236" t="s">
        <v>13</v>
      </c>
      <c r="G236" t="s">
        <v>21</v>
      </c>
      <c r="H236" t="s">
        <v>18</v>
      </c>
      <c r="I236">
        <v>4</v>
      </c>
      <c r="J236" t="s">
        <v>30</v>
      </c>
      <c r="K236" t="s">
        <v>24</v>
      </c>
      <c r="L236">
        <v>35</v>
      </c>
      <c r="M236" t="str">
        <f t="shared" si="3"/>
        <v>Young</v>
      </c>
      <c r="N236" t="s">
        <v>15</v>
      </c>
    </row>
    <row r="237" spans="1:14" hidden="1"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Young</v>
      </c>
      <c r="N238" t="s">
        <v>15</v>
      </c>
    </row>
    <row r="239" spans="1:14" hidden="1" x14ac:dyDescent="0.3">
      <c r="A239">
        <v>25555</v>
      </c>
      <c r="B239" t="s">
        <v>36</v>
      </c>
      <c r="C239" t="s">
        <v>38</v>
      </c>
      <c r="D239" s="1">
        <v>10000</v>
      </c>
      <c r="E239">
        <v>0</v>
      </c>
      <c r="F239" t="s">
        <v>19</v>
      </c>
      <c r="G239" t="s">
        <v>25</v>
      </c>
      <c r="H239" t="s">
        <v>18</v>
      </c>
      <c r="I239">
        <v>1</v>
      </c>
      <c r="J239" t="s">
        <v>16</v>
      </c>
      <c r="K239" t="s">
        <v>24</v>
      </c>
      <c r="L239">
        <v>26</v>
      </c>
      <c r="M239" t="str">
        <f t="shared" si="3"/>
        <v>Adolescence</v>
      </c>
      <c r="N239" t="s">
        <v>15</v>
      </c>
    </row>
    <row r="240" spans="1:14" hidden="1"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hidden="1" x14ac:dyDescent="0.3">
      <c r="A241">
        <v>20060</v>
      </c>
      <c r="B241" t="s">
        <v>37</v>
      </c>
      <c r="C241" t="s">
        <v>38</v>
      </c>
      <c r="D241" s="1">
        <v>30000</v>
      </c>
      <c r="E241">
        <v>0</v>
      </c>
      <c r="F241" t="s">
        <v>27</v>
      </c>
      <c r="G241" t="s">
        <v>25</v>
      </c>
      <c r="H241" t="s">
        <v>18</v>
      </c>
      <c r="I241">
        <v>1</v>
      </c>
      <c r="J241" t="s">
        <v>22</v>
      </c>
      <c r="K241" t="s">
        <v>17</v>
      </c>
      <c r="L241">
        <v>34</v>
      </c>
      <c r="M241" t="str">
        <f t="shared" si="3"/>
        <v>Adolescence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Young</v>
      </c>
      <c r="N242" t="s">
        <v>18</v>
      </c>
    </row>
    <row r="243" spans="1:14" hidden="1" x14ac:dyDescent="0.3">
      <c r="A243">
        <v>12503</v>
      </c>
      <c r="B243" t="s">
        <v>37</v>
      </c>
      <c r="C243" t="s">
        <v>38</v>
      </c>
      <c r="D243" s="1">
        <v>30000</v>
      </c>
      <c r="E243">
        <v>3</v>
      </c>
      <c r="F243" t="s">
        <v>19</v>
      </c>
      <c r="G243" t="s">
        <v>20</v>
      </c>
      <c r="H243" t="s">
        <v>15</v>
      </c>
      <c r="I243">
        <v>2</v>
      </c>
      <c r="J243" t="s">
        <v>16</v>
      </c>
      <c r="K243" t="s">
        <v>17</v>
      </c>
      <c r="L243">
        <v>27</v>
      </c>
      <c r="M243" t="str">
        <f t="shared" si="3"/>
        <v>Adolescence</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Young</v>
      </c>
      <c r="N244" t="s">
        <v>15</v>
      </c>
    </row>
    <row r="245" spans="1:14" hidden="1" x14ac:dyDescent="0.3">
      <c r="A245">
        <v>22527</v>
      </c>
      <c r="B245" t="s">
        <v>37</v>
      </c>
      <c r="C245" t="s">
        <v>38</v>
      </c>
      <c r="D245" s="1">
        <v>20000</v>
      </c>
      <c r="E245">
        <v>0</v>
      </c>
      <c r="F245" t="s">
        <v>27</v>
      </c>
      <c r="G245" t="s">
        <v>25</v>
      </c>
      <c r="H245" t="s">
        <v>18</v>
      </c>
      <c r="I245">
        <v>1</v>
      </c>
      <c r="J245" t="s">
        <v>22</v>
      </c>
      <c r="K245" t="s">
        <v>17</v>
      </c>
      <c r="L245">
        <v>29</v>
      </c>
      <c r="M245" t="str">
        <f t="shared" si="3"/>
        <v>Adolescence</v>
      </c>
      <c r="N245" t="s">
        <v>18</v>
      </c>
    </row>
    <row r="246" spans="1:14" hidden="1" x14ac:dyDescent="0.3">
      <c r="A246">
        <v>19057</v>
      </c>
      <c r="B246" t="s">
        <v>36</v>
      </c>
      <c r="C246" t="s">
        <v>38</v>
      </c>
      <c r="D246" s="1">
        <v>120000</v>
      </c>
      <c r="E246">
        <v>3</v>
      </c>
      <c r="F246" t="s">
        <v>13</v>
      </c>
      <c r="G246" t="s">
        <v>28</v>
      </c>
      <c r="H246" t="s">
        <v>18</v>
      </c>
      <c r="I246">
        <v>2</v>
      </c>
      <c r="J246" t="s">
        <v>30</v>
      </c>
      <c r="K246" t="s">
        <v>17</v>
      </c>
      <c r="L246">
        <v>52</v>
      </c>
      <c r="M246" t="str">
        <f t="shared" si="3"/>
        <v>Middle Age</v>
      </c>
      <c r="N246" t="s">
        <v>15</v>
      </c>
    </row>
    <row r="247" spans="1:14" hidden="1"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hidden="1"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hidden="1" x14ac:dyDescent="0.3">
      <c r="A249">
        <v>21568</v>
      </c>
      <c r="B249" t="s">
        <v>36</v>
      </c>
      <c r="C249" t="s">
        <v>38</v>
      </c>
      <c r="D249" s="1">
        <v>100000</v>
      </c>
      <c r="E249">
        <v>0</v>
      </c>
      <c r="F249" t="s">
        <v>27</v>
      </c>
      <c r="G249" t="s">
        <v>28</v>
      </c>
      <c r="H249" t="s">
        <v>15</v>
      </c>
      <c r="I249">
        <v>4</v>
      </c>
      <c r="J249" t="s">
        <v>30</v>
      </c>
      <c r="K249" t="s">
        <v>24</v>
      </c>
      <c r="L249">
        <v>34</v>
      </c>
      <c r="M249" t="str">
        <f t="shared" si="3"/>
        <v>Adolescence</v>
      </c>
      <c r="N249" t="s">
        <v>15</v>
      </c>
    </row>
    <row r="250" spans="1:14" hidden="1" x14ac:dyDescent="0.3">
      <c r="A250">
        <v>13981</v>
      </c>
      <c r="B250" t="s">
        <v>36</v>
      </c>
      <c r="C250" t="s">
        <v>38</v>
      </c>
      <c r="D250" s="1">
        <v>10000</v>
      </c>
      <c r="E250">
        <v>5</v>
      </c>
      <c r="F250" t="s">
        <v>27</v>
      </c>
      <c r="G250" t="s">
        <v>14</v>
      </c>
      <c r="H250" t="s">
        <v>18</v>
      </c>
      <c r="I250">
        <v>3</v>
      </c>
      <c r="J250" t="s">
        <v>26</v>
      </c>
      <c r="K250" t="s">
        <v>24</v>
      </c>
      <c r="L250">
        <v>62</v>
      </c>
      <c r="M250" t="str">
        <f t="shared" si="3"/>
        <v>Middle Age</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Young</v>
      </c>
      <c r="N251" t="s">
        <v>15</v>
      </c>
    </row>
    <row r="252" spans="1:14" hidden="1"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hidden="1" x14ac:dyDescent="0.3">
      <c r="A253">
        <v>18172</v>
      </c>
      <c r="B253" t="s">
        <v>36</v>
      </c>
      <c r="C253" t="s">
        <v>39</v>
      </c>
      <c r="D253" s="1">
        <v>130000</v>
      </c>
      <c r="E253">
        <v>4</v>
      </c>
      <c r="F253" t="s">
        <v>27</v>
      </c>
      <c r="G253" t="s">
        <v>21</v>
      </c>
      <c r="H253" t="s">
        <v>15</v>
      </c>
      <c r="I253">
        <v>3</v>
      </c>
      <c r="J253" t="s">
        <v>16</v>
      </c>
      <c r="K253" t="s">
        <v>17</v>
      </c>
      <c r="L253">
        <v>55</v>
      </c>
      <c r="M253" t="str">
        <f t="shared" si="3"/>
        <v>Middle Age</v>
      </c>
      <c r="N253" t="s">
        <v>18</v>
      </c>
    </row>
    <row r="254" spans="1:14" hidden="1" x14ac:dyDescent="0.3">
      <c r="A254">
        <v>12666</v>
      </c>
      <c r="B254" t="s">
        <v>37</v>
      </c>
      <c r="C254" t="s">
        <v>39</v>
      </c>
      <c r="D254" s="1">
        <v>60000</v>
      </c>
      <c r="E254">
        <v>0</v>
      </c>
      <c r="F254" t="s">
        <v>13</v>
      </c>
      <c r="G254" t="s">
        <v>21</v>
      </c>
      <c r="H254" t="s">
        <v>18</v>
      </c>
      <c r="I254">
        <v>4</v>
      </c>
      <c r="J254" t="s">
        <v>22</v>
      </c>
      <c r="K254" t="s">
        <v>24</v>
      </c>
      <c r="L254">
        <v>31</v>
      </c>
      <c r="M254" t="str">
        <f t="shared" si="3"/>
        <v>Adolescence</v>
      </c>
      <c r="N254" t="s">
        <v>18</v>
      </c>
    </row>
    <row r="255" spans="1:14" hidden="1" x14ac:dyDescent="0.3">
      <c r="A255">
        <v>20598</v>
      </c>
      <c r="B255" t="s">
        <v>36</v>
      </c>
      <c r="C255" t="s">
        <v>39</v>
      </c>
      <c r="D255" s="1">
        <v>100000</v>
      </c>
      <c r="E255">
        <v>3</v>
      </c>
      <c r="F255" t="s">
        <v>29</v>
      </c>
      <c r="G255" t="s">
        <v>21</v>
      </c>
      <c r="H255" t="s">
        <v>15</v>
      </c>
      <c r="I255">
        <v>0</v>
      </c>
      <c r="J255" t="s">
        <v>30</v>
      </c>
      <c r="K255" t="s">
        <v>17</v>
      </c>
      <c r="L255">
        <v>59</v>
      </c>
      <c r="M255" t="str">
        <f t="shared" si="3"/>
        <v>Middle Age</v>
      </c>
      <c r="N255" t="s">
        <v>15</v>
      </c>
    </row>
    <row r="256" spans="1:14" hidden="1" x14ac:dyDescent="0.3">
      <c r="A256">
        <v>21375</v>
      </c>
      <c r="B256" t="s">
        <v>37</v>
      </c>
      <c r="C256" t="s">
        <v>39</v>
      </c>
      <c r="D256" s="1">
        <v>20000</v>
      </c>
      <c r="E256">
        <v>2</v>
      </c>
      <c r="F256" t="s">
        <v>29</v>
      </c>
      <c r="G256" t="s">
        <v>20</v>
      </c>
      <c r="H256" t="s">
        <v>15</v>
      </c>
      <c r="I256">
        <v>2</v>
      </c>
      <c r="J256" t="s">
        <v>23</v>
      </c>
      <c r="K256" t="s">
        <v>24</v>
      </c>
      <c r="L256">
        <v>57</v>
      </c>
      <c r="M256" t="str">
        <f t="shared" si="3"/>
        <v>Middle Age</v>
      </c>
      <c r="N256" t="s">
        <v>18</v>
      </c>
    </row>
    <row r="257" spans="1:14" hidden="1"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Young</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IF(L259&gt;=65, "Old", IF(L259&gt;=45, "Middle Age", IF(L259&gt;=35, "Young", IF(L259&gt;=25, "Adolescence", "Invalid"))))</f>
        <v>Young</v>
      </c>
      <c r="N259" t="s">
        <v>15</v>
      </c>
    </row>
    <row r="260" spans="1:14" hidden="1" x14ac:dyDescent="0.3">
      <c r="A260">
        <v>14193</v>
      </c>
      <c r="B260" t="s">
        <v>37</v>
      </c>
      <c r="C260" t="s">
        <v>38</v>
      </c>
      <c r="D260" s="1">
        <v>100000</v>
      </c>
      <c r="E260">
        <v>3</v>
      </c>
      <c r="F260" t="s">
        <v>19</v>
      </c>
      <c r="G260" t="s">
        <v>28</v>
      </c>
      <c r="H260" t="s">
        <v>15</v>
      </c>
      <c r="I260">
        <v>4</v>
      </c>
      <c r="J260" t="s">
        <v>30</v>
      </c>
      <c r="K260" t="s">
        <v>17</v>
      </c>
      <c r="L260">
        <v>56</v>
      </c>
      <c r="M260" t="str">
        <f t="shared" si="4"/>
        <v>Middle Age</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Young</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Young</v>
      </c>
      <c r="N262" t="s">
        <v>18</v>
      </c>
    </row>
    <row r="263" spans="1:14" hidden="1" x14ac:dyDescent="0.3">
      <c r="A263">
        <v>26219</v>
      </c>
      <c r="B263" t="s">
        <v>36</v>
      </c>
      <c r="C263" t="s">
        <v>38</v>
      </c>
      <c r="D263" s="1">
        <v>40000</v>
      </c>
      <c r="E263">
        <v>1</v>
      </c>
      <c r="F263" t="s">
        <v>13</v>
      </c>
      <c r="G263" t="s">
        <v>14</v>
      </c>
      <c r="H263" t="s">
        <v>15</v>
      </c>
      <c r="I263">
        <v>1</v>
      </c>
      <c r="J263" t="s">
        <v>26</v>
      </c>
      <c r="K263" t="s">
        <v>17</v>
      </c>
      <c r="L263">
        <v>33</v>
      </c>
      <c r="M263" t="str">
        <f t="shared" si="4"/>
        <v>Adolescence</v>
      </c>
      <c r="N263" t="s">
        <v>15</v>
      </c>
    </row>
    <row r="264" spans="1:14" hidden="1"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30</v>
      </c>
      <c r="K265" t="s">
        <v>24</v>
      </c>
      <c r="L265">
        <v>39</v>
      </c>
      <c r="M265" t="str">
        <f t="shared" si="4"/>
        <v>Young</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Young</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Young</v>
      </c>
      <c r="N267" t="s">
        <v>18</v>
      </c>
    </row>
    <row r="268" spans="1:14" hidden="1" x14ac:dyDescent="0.3">
      <c r="A268">
        <v>20927</v>
      </c>
      <c r="B268" t="s">
        <v>37</v>
      </c>
      <c r="C268" t="s">
        <v>38</v>
      </c>
      <c r="D268" s="1">
        <v>20000</v>
      </c>
      <c r="E268">
        <v>5</v>
      </c>
      <c r="F268" t="s">
        <v>27</v>
      </c>
      <c r="G268" t="s">
        <v>25</v>
      </c>
      <c r="H268" t="s">
        <v>15</v>
      </c>
      <c r="I268">
        <v>2</v>
      </c>
      <c r="J268" t="s">
        <v>16</v>
      </c>
      <c r="K268" t="s">
        <v>17</v>
      </c>
      <c r="L268">
        <v>27</v>
      </c>
      <c r="M268" t="str">
        <f t="shared" si="4"/>
        <v>Adolescence</v>
      </c>
      <c r="N268" t="s">
        <v>18</v>
      </c>
    </row>
    <row r="269" spans="1:14" hidden="1"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hidden="1"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Young</v>
      </c>
      <c r="N271" t="s">
        <v>15</v>
      </c>
    </row>
    <row r="272" spans="1:14" hidden="1"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hidden="1" x14ac:dyDescent="0.3">
      <c r="A273">
        <v>25665</v>
      </c>
      <c r="B273" t="s">
        <v>37</v>
      </c>
      <c r="C273" t="s">
        <v>38</v>
      </c>
      <c r="D273" s="1">
        <v>20000</v>
      </c>
      <c r="E273">
        <v>0</v>
      </c>
      <c r="F273" t="s">
        <v>27</v>
      </c>
      <c r="G273" t="s">
        <v>25</v>
      </c>
      <c r="H273" t="s">
        <v>18</v>
      </c>
      <c r="I273">
        <v>1</v>
      </c>
      <c r="J273" t="s">
        <v>26</v>
      </c>
      <c r="K273" t="s">
        <v>17</v>
      </c>
      <c r="L273">
        <v>28</v>
      </c>
      <c r="M273" t="str">
        <f t="shared" si="4"/>
        <v>Adolescence</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Young</v>
      </c>
      <c r="N274" t="s">
        <v>15</v>
      </c>
    </row>
    <row r="275" spans="1:14" hidden="1" x14ac:dyDescent="0.3">
      <c r="A275">
        <v>26879</v>
      </c>
      <c r="B275" t="s">
        <v>37</v>
      </c>
      <c r="C275" t="s">
        <v>38</v>
      </c>
      <c r="D275" s="1">
        <v>20000</v>
      </c>
      <c r="E275">
        <v>0</v>
      </c>
      <c r="F275" t="s">
        <v>27</v>
      </c>
      <c r="G275" t="s">
        <v>25</v>
      </c>
      <c r="H275" t="s">
        <v>18</v>
      </c>
      <c r="I275">
        <v>1</v>
      </c>
      <c r="J275" t="s">
        <v>22</v>
      </c>
      <c r="K275" t="s">
        <v>17</v>
      </c>
      <c r="L275">
        <v>30</v>
      </c>
      <c r="M275" t="str">
        <f t="shared" si="4"/>
        <v>Adolescence</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Young</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Young</v>
      </c>
      <c r="N277" t="s">
        <v>15</v>
      </c>
    </row>
    <row r="278" spans="1:14" hidden="1"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Young</v>
      </c>
      <c r="N279" t="s">
        <v>15</v>
      </c>
    </row>
    <row r="280" spans="1:14" x14ac:dyDescent="0.3">
      <c r="A280">
        <v>20625</v>
      </c>
      <c r="B280" t="s">
        <v>36</v>
      </c>
      <c r="C280" t="s">
        <v>39</v>
      </c>
      <c r="D280" s="1">
        <v>100000</v>
      </c>
      <c r="E280">
        <v>0</v>
      </c>
      <c r="F280" t="s">
        <v>27</v>
      </c>
      <c r="G280" t="s">
        <v>28</v>
      </c>
      <c r="H280" t="s">
        <v>15</v>
      </c>
      <c r="I280">
        <v>3</v>
      </c>
      <c r="J280" t="s">
        <v>30</v>
      </c>
      <c r="K280" t="s">
        <v>24</v>
      </c>
      <c r="L280">
        <v>35</v>
      </c>
      <c r="M280" t="str">
        <f t="shared" si="4"/>
        <v>Young</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Young</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Young</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Young</v>
      </c>
      <c r="N283" t="s">
        <v>18</v>
      </c>
    </row>
    <row r="284" spans="1:14" hidden="1" x14ac:dyDescent="0.3">
      <c r="A284">
        <v>14696</v>
      </c>
      <c r="B284" t="s">
        <v>37</v>
      </c>
      <c r="C284" t="s">
        <v>39</v>
      </c>
      <c r="D284" s="1">
        <v>10000</v>
      </c>
      <c r="E284">
        <v>0</v>
      </c>
      <c r="F284" t="s">
        <v>29</v>
      </c>
      <c r="G284" t="s">
        <v>25</v>
      </c>
      <c r="H284" t="s">
        <v>18</v>
      </c>
      <c r="I284">
        <v>2</v>
      </c>
      <c r="J284" t="s">
        <v>16</v>
      </c>
      <c r="K284" t="s">
        <v>17</v>
      </c>
      <c r="L284">
        <v>34</v>
      </c>
      <c r="M284" t="str">
        <f t="shared" si="4"/>
        <v>Adolescence</v>
      </c>
      <c r="N284" t="s">
        <v>18</v>
      </c>
    </row>
    <row r="285" spans="1:14" hidden="1"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hidden="1"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hidden="1"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hidden="1"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hidden="1"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hidden="1"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hidden="1"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hidden="1"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Young</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Young</v>
      </c>
      <c r="N294" t="s">
        <v>15</v>
      </c>
    </row>
    <row r="295" spans="1:14" hidden="1"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Young</v>
      </c>
      <c r="N296" t="s">
        <v>15</v>
      </c>
    </row>
    <row r="297" spans="1:14" hidden="1" x14ac:dyDescent="0.3">
      <c r="A297">
        <v>21557</v>
      </c>
      <c r="B297" t="s">
        <v>37</v>
      </c>
      <c r="C297" t="s">
        <v>38</v>
      </c>
      <c r="D297" s="1">
        <v>110000</v>
      </c>
      <c r="E297">
        <v>0</v>
      </c>
      <c r="F297" t="s">
        <v>19</v>
      </c>
      <c r="G297" t="s">
        <v>28</v>
      </c>
      <c r="H297" t="s">
        <v>15</v>
      </c>
      <c r="I297">
        <v>3</v>
      </c>
      <c r="J297" t="s">
        <v>30</v>
      </c>
      <c r="K297" t="s">
        <v>24</v>
      </c>
      <c r="L297">
        <v>32</v>
      </c>
      <c r="M297" t="str">
        <f t="shared" si="4"/>
        <v>Adolescence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Young</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Young</v>
      </c>
      <c r="N299" t="s">
        <v>15</v>
      </c>
    </row>
    <row r="300" spans="1:14" hidden="1"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hidden="1"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hidden="1" x14ac:dyDescent="0.3">
      <c r="A302">
        <v>25906</v>
      </c>
      <c r="B302" t="s">
        <v>37</v>
      </c>
      <c r="C302" t="s">
        <v>38</v>
      </c>
      <c r="D302" s="1">
        <v>10000</v>
      </c>
      <c r="E302">
        <v>5</v>
      </c>
      <c r="F302" t="s">
        <v>27</v>
      </c>
      <c r="G302" t="s">
        <v>14</v>
      </c>
      <c r="H302" t="s">
        <v>18</v>
      </c>
      <c r="I302">
        <v>2</v>
      </c>
      <c r="J302" t="s">
        <v>26</v>
      </c>
      <c r="K302" t="s">
        <v>24</v>
      </c>
      <c r="L302">
        <v>62</v>
      </c>
      <c r="M302" t="str">
        <f t="shared" si="4"/>
        <v>Middle Age</v>
      </c>
      <c r="N302" t="s">
        <v>18</v>
      </c>
    </row>
    <row r="303" spans="1:14" hidden="1" x14ac:dyDescent="0.3">
      <c r="A303">
        <v>17926</v>
      </c>
      <c r="B303" t="s">
        <v>37</v>
      </c>
      <c r="C303" t="s">
        <v>38</v>
      </c>
      <c r="D303" s="1">
        <v>40000</v>
      </c>
      <c r="E303">
        <v>0</v>
      </c>
      <c r="F303" t="s">
        <v>13</v>
      </c>
      <c r="G303" t="s">
        <v>20</v>
      </c>
      <c r="H303" t="s">
        <v>18</v>
      </c>
      <c r="I303">
        <v>0</v>
      </c>
      <c r="J303" t="s">
        <v>16</v>
      </c>
      <c r="K303" t="s">
        <v>24</v>
      </c>
      <c r="L303">
        <v>28</v>
      </c>
      <c r="M303" t="str">
        <f t="shared" si="4"/>
        <v>Adolescence</v>
      </c>
      <c r="N303" t="s">
        <v>15</v>
      </c>
    </row>
    <row r="304" spans="1:14" hidden="1" x14ac:dyDescent="0.3">
      <c r="A304">
        <v>26928</v>
      </c>
      <c r="B304" t="s">
        <v>37</v>
      </c>
      <c r="C304" t="s">
        <v>39</v>
      </c>
      <c r="D304" s="1">
        <v>30000</v>
      </c>
      <c r="E304">
        <v>1</v>
      </c>
      <c r="F304" t="s">
        <v>13</v>
      </c>
      <c r="G304" t="s">
        <v>20</v>
      </c>
      <c r="H304" t="s">
        <v>15</v>
      </c>
      <c r="I304">
        <v>0</v>
      </c>
      <c r="J304" t="s">
        <v>16</v>
      </c>
      <c r="K304" t="s">
        <v>17</v>
      </c>
      <c r="L304">
        <v>62</v>
      </c>
      <c r="M304" t="str">
        <f t="shared" si="4"/>
        <v>Middle Age</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Young</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Young</v>
      </c>
      <c r="N306" t="s">
        <v>15</v>
      </c>
    </row>
    <row r="307" spans="1:14" hidden="1" x14ac:dyDescent="0.3">
      <c r="A307">
        <v>25923</v>
      </c>
      <c r="B307" t="s">
        <v>37</v>
      </c>
      <c r="C307" t="s">
        <v>39</v>
      </c>
      <c r="D307" s="1">
        <v>10000</v>
      </c>
      <c r="E307">
        <v>2</v>
      </c>
      <c r="F307" t="s">
        <v>29</v>
      </c>
      <c r="G307" t="s">
        <v>20</v>
      </c>
      <c r="H307" t="s">
        <v>15</v>
      </c>
      <c r="I307">
        <v>2</v>
      </c>
      <c r="J307" t="s">
        <v>23</v>
      </c>
      <c r="K307" t="s">
        <v>24</v>
      </c>
      <c r="L307">
        <v>58</v>
      </c>
      <c r="M307" t="str">
        <f t="shared" si="4"/>
        <v>Middle Age</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Young</v>
      </c>
      <c r="N308" t="s">
        <v>15</v>
      </c>
    </row>
    <row r="309" spans="1:14" hidden="1"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Young</v>
      </c>
      <c r="N310" t="s">
        <v>15</v>
      </c>
    </row>
    <row r="311" spans="1:14" hidden="1"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hidden="1"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hidden="1"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hidden="1" x14ac:dyDescent="0.3">
      <c r="A314">
        <v>28102</v>
      </c>
      <c r="B314" t="s">
        <v>36</v>
      </c>
      <c r="C314" t="s">
        <v>39</v>
      </c>
      <c r="D314" s="1">
        <v>20000</v>
      </c>
      <c r="E314">
        <v>4</v>
      </c>
      <c r="F314" t="s">
        <v>27</v>
      </c>
      <c r="G314" t="s">
        <v>14</v>
      </c>
      <c r="H314" t="s">
        <v>15</v>
      </c>
      <c r="I314">
        <v>2</v>
      </c>
      <c r="J314" t="s">
        <v>23</v>
      </c>
      <c r="K314" t="s">
        <v>24</v>
      </c>
      <c r="L314">
        <v>58</v>
      </c>
      <c r="M314" t="str">
        <f t="shared" si="4"/>
        <v>Middle Age</v>
      </c>
      <c r="N314" t="s">
        <v>15</v>
      </c>
    </row>
    <row r="315" spans="1:14" hidden="1"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hidden="1"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Young</v>
      </c>
      <c r="N317" t="s">
        <v>18</v>
      </c>
    </row>
    <row r="318" spans="1:14" hidden="1" x14ac:dyDescent="0.3">
      <c r="A318">
        <v>17352</v>
      </c>
      <c r="B318" t="s">
        <v>36</v>
      </c>
      <c r="C318" t="s">
        <v>39</v>
      </c>
      <c r="D318" s="1">
        <v>50000</v>
      </c>
      <c r="E318">
        <v>2</v>
      </c>
      <c r="F318" t="s">
        <v>31</v>
      </c>
      <c r="G318" t="s">
        <v>28</v>
      </c>
      <c r="H318" t="s">
        <v>15</v>
      </c>
      <c r="I318">
        <v>1</v>
      </c>
      <c r="J318" t="s">
        <v>23</v>
      </c>
      <c r="K318" t="s">
        <v>24</v>
      </c>
      <c r="L318">
        <v>64</v>
      </c>
      <c r="M318" t="str">
        <f t="shared" si="4"/>
        <v>Middle Age</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Young</v>
      </c>
      <c r="N319" t="s">
        <v>15</v>
      </c>
    </row>
    <row r="320" spans="1:14" hidden="1" x14ac:dyDescent="0.3">
      <c r="A320">
        <v>19066</v>
      </c>
      <c r="B320" t="s">
        <v>36</v>
      </c>
      <c r="C320" t="s">
        <v>39</v>
      </c>
      <c r="D320" s="1">
        <v>130000</v>
      </c>
      <c r="E320">
        <v>4</v>
      </c>
      <c r="F320" t="s">
        <v>19</v>
      </c>
      <c r="G320" t="s">
        <v>21</v>
      </c>
      <c r="H320" t="s">
        <v>18</v>
      </c>
      <c r="I320">
        <v>3</v>
      </c>
      <c r="J320" t="s">
        <v>30</v>
      </c>
      <c r="K320" t="s">
        <v>17</v>
      </c>
      <c r="L320">
        <v>54</v>
      </c>
      <c r="M320" t="str">
        <f t="shared" si="4"/>
        <v>Middle Age</v>
      </c>
      <c r="N320" t="s">
        <v>18</v>
      </c>
    </row>
    <row r="321" spans="1:14" hidden="1"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Young</v>
      </c>
      <c r="N322" t="s">
        <v>15</v>
      </c>
    </row>
    <row r="323" spans="1:14" hidden="1" x14ac:dyDescent="0.3">
      <c r="A323">
        <v>16675</v>
      </c>
      <c r="B323" t="s">
        <v>37</v>
      </c>
      <c r="C323" t="s">
        <v>38</v>
      </c>
      <c r="D323" s="1">
        <v>160000</v>
      </c>
      <c r="E323">
        <v>0</v>
      </c>
      <c r="F323" t="s">
        <v>31</v>
      </c>
      <c r="G323" t="s">
        <v>28</v>
      </c>
      <c r="H323" t="s">
        <v>18</v>
      </c>
      <c r="I323">
        <v>3</v>
      </c>
      <c r="J323" t="s">
        <v>16</v>
      </c>
      <c r="K323" t="s">
        <v>24</v>
      </c>
      <c r="L323">
        <v>47</v>
      </c>
      <c r="M323" t="str">
        <f t="shared" ref="M323:M386" si="5">IF(L323&gt;=65, "Old", IF(L323&gt;=45, "Middle Age", IF(L323&gt;=35, "Young", IF(L323&gt;=25, "Adolescence", "Invalid"))))</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Young</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Young</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Young</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Young</v>
      </c>
      <c r="N327" t="s">
        <v>15</v>
      </c>
    </row>
    <row r="328" spans="1:14" hidden="1" x14ac:dyDescent="0.3">
      <c r="A328">
        <v>20994</v>
      </c>
      <c r="B328" t="s">
        <v>36</v>
      </c>
      <c r="C328" t="s">
        <v>38</v>
      </c>
      <c r="D328" s="1">
        <v>20000</v>
      </c>
      <c r="E328">
        <v>0</v>
      </c>
      <c r="F328" t="s">
        <v>13</v>
      </c>
      <c r="G328" t="s">
        <v>20</v>
      </c>
      <c r="H328" t="s">
        <v>18</v>
      </c>
      <c r="I328">
        <v>0</v>
      </c>
      <c r="J328" t="s">
        <v>16</v>
      </c>
      <c r="K328" t="s">
        <v>24</v>
      </c>
      <c r="L328">
        <v>26</v>
      </c>
      <c r="M328" t="str">
        <f t="shared" si="5"/>
        <v>Adolescence</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Young</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Young</v>
      </c>
      <c r="N330" t="s">
        <v>18</v>
      </c>
    </row>
    <row r="331" spans="1:14" hidden="1" x14ac:dyDescent="0.3">
      <c r="A331">
        <v>12663</v>
      </c>
      <c r="B331" t="s">
        <v>36</v>
      </c>
      <c r="C331" t="s">
        <v>38</v>
      </c>
      <c r="D331" s="1">
        <v>90000</v>
      </c>
      <c r="E331">
        <v>5</v>
      </c>
      <c r="F331" t="s">
        <v>29</v>
      </c>
      <c r="G331" t="s">
        <v>14</v>
      </c>
      <c r="H331" t="s">
        <v>15</v>
      </c>
      <c r="I331">
        <v>2</v>
      </c>
      <c r="J331" t="s">
        <v>30</v>
      </c>
      <c r="K331" t="s">
        <v>17</v>
      </c>
      <c r="L331">
        <v>59</v>
      </c>
      <c r="M331" t="str">
        <f t="shared" si="5"/>
        <v>Middle Age</v>
      </c>
      <c r="N331" t="s">
        <v>18</v>
      </c>
    </row>
    <row r="332" spans="1:14" hidden="1" x14ac:dyDescent="0.3">
      <c r="A332">
        <v>24898</v>
      </c>
      <c r="B332" t="s">
        <v>37</v>
      </c>
      <c r="C332" t="s">
        <v>38</v>
      </c>
      <c r="D332" s="1">
        <v>80000</v>
      </c>
      <c r="E332">
        <v>0</v>
      </c>
      <c r="F332" t="s">
        <v>13</v>
      </c>
      <c r="G332" t="s">
        <v>21</v>
      </c>
      <c r="H332" t="s">
        <v>15</v>
      </c>
      <c r="I332">
        <v>3</v>
      </c>
      <c r="J332" t="s">
        <v>30</v>
      </c>
      <c r="K332" t="s">
        <v>24</v>
      </c>
      <c r="L332">
        <v>32</v>
      </c>
      <c r="M332" t="str">
        <f t="shared" si="5"/>
        <v>Adolescence</v>
      </c>
      <c r="N332" t="s">
        <v>18</v>
      </c>
    </row>
    <row r="333" spans="1:14" hidden="1" x14ac:dyDescent="0.3">
      <c r="A333">
        <v>19508</v>
      </c>
      <c r="B333" t="s">
        <v>36</v>
      </c>
      <c r="C333" t="s">
        <v>39</v>
      </c>
      <c r="D333" s="1">
        <v>10000</v>
      </c>
      <c r="E333">
        <v>0</v>
      </c>
      <c r="F333" t="s">
        <v>29</v>
      </c>
      <c r="G333" t="s">
        <v>25</v>
      </c>
      <c r="H333" t="s">
        <v>18</v>
      </c>
      <c r="I333">
        <v>2</v>
      </c>
      <c r="J333" t="s">
        <v>16</v>
      </c>
      <c r="K333" t="s">
        <v>17</v>
      </c>
      <c r="L333">
        <v>30</v>
      </c>
      <c r="M333" t="str">
        <f t="shared" si="5"/>
        <v>Adolescence</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Young</v>
      </c>
      <c r="N334" t="s">
        <v>15</v>
      </c>
    </row>
    <row r="335" spans="1:14" hidden="1"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hidden="1"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Young</v>
      </c>
      <c r="N337" t="s">
        <v>18</v>
      </c>
    </row>
    <row r="338" spans="1:14" hidden="1" x14ac:dyDescent="0.3">
      <c r="A338">
        <v>27165</v>
      </c>
      <c r="B338" t="s">
        <v>37</v>
      </c>
      <c r="C338" t="s">
        <v>39</v>
      </c>
      <c r="D338" s="1">
        <v>20000</v>
      </c>
      <c r="E338">
        <v>0</v>
      </c>
      <c r="F338" t="s">
        <v>29</v>
      </c>
      <c r="G338" t="s">
        <v>25</v>
      </c>
      <c r="H338" t="s">
        <v>18</v>
      </c>
      <c r="I338">
        <v>2</v>
      </c>
      <c r="J338" t="s">
        <v>16</v>
      </c>
      <c r="K338" t="s">
        <v>17</v>
      </c>
      <c r="L338">
        <v>34</v>
      </c>
      <c r="M338" t="str">
        <f t="shared" si="5"/>
        <v>Adolescence</v>
      </c>
      <c r="N338" t="s">
        <v>18</v>
      </c>
    </row>
    <row r="339" spans="1:14" hidden="1" x14ac:dyDescent="0.3">
      <c r="A339">
        <v>29424</v>
      </c>
      <c r="B339" t="s">
        <v>36</v>
      </c>
      <c r="C339" t="s">
        <v>39</v>
      </c>
      <c r="D339" s="1">
        <v>10000</v>
      </c>
      <c r="E339">
        <v>0</v>
      </c>
      <c r="F339" t="s">
        <v>29</v>
      </c>
      <c r="G339" t="s">
        <v>25</v>
      </c>
      <c r="H339" t="s">
        <v>15</v>
      </c>
      <c r="I339">
        <v>2</v>
      </c>
      <c r="J339" t="s">
        <v>16</v>
      </c>
      <c r="K339" t="s">
        <v>17</v>
      </c>
      <c r="L339">
        <v>32</v>
      </c>
      <c r="M339" t="str">
        <f t="shared" si="5"/>
        <v>Adolescence</v>
      </c>
      <c r="N339" t="s">
        <v>18</v>
      </c>
    </row>
    <row r="340" spans="1:14" hidden="1"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hidden="1"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hidden="1" x14ac:dyDescent="0.3">
      <c r="A342">
        <v>16468</v>
      </c>
      <c r="B342" t="s">
        <v>37</v>
      </c>
      <c r="C342" t="s">
        <v>39</v>
      </c>
      <c r="D342" s="1">
        <v>30000</v>
      </c>
      <c r="E342">
        <v>0</v>
      </c>
      <c r="F342" t="s">
        <v>19</v>
      </c>
      <c r="G342" t="s">
        <v>20</v>
      </c>
      <c r="H342" t="s">
        <v>15</v>
      </c>
      <c r="I342">
        <v>1</v>
      </c>
      <c r="J342" t="s">
        <v>22</v>
      </c>
      <c r="K342" t="s">
        <v>17</v>
      </c>
      <c r="L342">
        <v>30</v>
      </c>
      <c r="M342" t="str">
        <f t="shared" si="5"/>
        <v>Adolescence</v>
      </c>
      <c r="N342" t="s">
        <v>18</v>
      </c>
    </row>
    <row r="343" spans="1:14" hidden="1" x14ac:dyDescent="0.3">
      <c r="A343">
        <v>19174</v>
      </c>
      <c r="B343" t="s">
        <v>37</v>
      </c>
      <c r="C343" t="s">
        <v>38</v>
      </c>
      <c r="D343" s="1">
        <v>30000</v>
      </c>
      <c r="E343">
        <v>0</v>
      </c>
      <c r="F343" t="s">
        <v>27</v>
      </c>
      <c r="G343" t="s">
        <v>25</v>
      </c>
      <c r="H343" t="s">
        <v>18</v>
      </c>
      <c r="I343">
        <v>1</v>
      </c>
      <c r="J343" t="s">
        <v>22</v>
      </c>
      <c r="K343" t="s">
        <v>17</v>
      </c>
      <c r="L343">
        <v>32</v>
      </c>
      <c r="M343" t="str">
        <f t="shared" si="5"/>
        <v>Adolescence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Young</v>
      </c>
      <c r="N344" t="s">
        <v>18</v>
      </c>
    </row>
    <row r="345" spans="1:14" hidden="1" x14ac:dyDescent="0.3">
      <c r="A345">
        <v>13683</v>
      </c>
      <c r="B345" t="s">
        <v>37</v>
      </c>
      <c r="C345" t="s">
        <v>38</v>
      </c>
      <c r="D345" s="1">
        <v>30000</v>
      </c>
      <c r="E345">
        <v>0</v>
      </c>
      <c r="F345" t="s">
        <v>27</v>
      </c>
      <c r="G345" t="s">
        <v>25</v>
      </c>
      <c r="H345" t="s">
        <v>18</v>
      </c>
      <c r="I345">
        <v>1</v>
      </c>
      <c r="J345" t="s">
        <v>22</v>
      </c>
      <c r="K345" t="s">
        <v>17</v>
      </c>
      <c r="L345">
        <v>32</v>
      </c>
      <c r="M345" t="str">
        <f t="shared" si="5"/>
        <v>Adolescence</v>
      </c>
      <c r="N345" t="s">
        <v>18</v>
      </c>
    </row>
    <row r="346" spans="1:14" hidden="1" x14ac:dyDescent="0.3">
      <c r="A346">
        <v>17848</v>
      </c>
      <c r="B346" t="s">
        <v>37</v>
      </c>
      <c r="C346" t="s">
        <v>39</v>
      </c>
      <c r="D346" s="1">
        <v>30000</v>
      </c>
      <c r="E346">
        <v>0</v>
      </c>
      <c r="F346" t="s">
        <v>19</v>
      </c>
      <c r="G346" t="s">
        <v>20</v>
      </c>
      <c r="H346" t="s">
        <v>18</v>
      </c>
      <c r="I346">
        <v>1</v>
      </c>
      <c r="J346" t="s">
        <v>22</v>
      </c>
      <c r="K346" t="s">
        <v>17</v>
      </c>
      <c r="L346">
        <v>31</v>
      </c>
      <c r="M346" t="str">
        <f t="shared" si="5"/>
        <v>Adolescence</v>
      </c>
      <c r="N346" t="s">
        <v>15</v>
      </c>
    </row>
    <row r="347" spans="1:14" hidden="1"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Young</v>
      </c>
      <c r="N348" t="s">
        <v>15</v>
      </c>
    </row>
    <row r="349" spans="1:14" hidden="1"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Young</v>
      </c>
      <c r="N350" t="s">
        <v>18</v>
      </c>
    </row>
    <row r="351" spans="1:14" hidden="1" x14ac:dyDescent="0.3">
      <c r="A351">
        <v>24121</v>
      </c>
      <c r="B351" t="s">
        <v>37</v>
      </c>
      <c r="C351" t="s">
        <v>38</v>
      </c>
      <c r="D351" s="1">
        <v>30000</v>
      </c>
      <c r="E351">
        <v>0</v>
      </c>
      <c r="F351" t="s">
        <v>19</v>
      </c>
      <c r="G351" t="s">
        <v>20</v>
      </c>
      <c r="H351" t="s">
        <v>18</v>
      </c>
      <c r="I351">
        <v>1</v>
      </c>
      <c r="J351" t="s">
        <v>16</v>
      </c>
      <c r="K351" t="s">
        <v>17</v>
      </c>
      <c r="L351">
        <v>29</v>
      </c>
      <c r="M351" t="str">
        <f t="shared" si="5"/>
        <v>Adolescence</v>
      </c>
      <c r="N351" t="s">
        <v>15</v>
      </c>
    </row>
    <row r="352" spans="1:14" hidden="1" x14ac:dyDescent="0.3">
      <c r="A352">
        <v>27878</v>
      </c>
      <c r="B352" t="s">
        <v>37</v>
      </c>
      <c r="C352" t="s">
        <v>39</v>
      </c>
      <c r="D352" s="1">
        <v>20000</v>
      </c>
      <c r="E352">
        <v>0</v>
      </c>
      <c r="F352" t="s">
        <v>19</v>
      </c>
      <c r="G352" t="s">
        <v>25</v>
      </c>
      <c r="H352" t="s">
        <v>18</v>
      </c>
      <c r="I352">
        <v>0</v>
      </c>
      <c r="J352" t="s">
        <v>16</v>
      </c>
      <c r="K352" t="s">
        <v>24</v>
      </c>
      <c r="L352">
        <v>28</v>
      </c>
      <c r="M352" t="str">
        <f t="shared" si="5"/>
        <v>Adolescence</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Young</v>
      </c>
      <c r="N353" t="s">
        <v>15</v>
      </c>
    </row>
    <row r="354" spans="1:14" hidden="1"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Young</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Young</v>
      </c>
      <c r="N356" t="s">
        <v>18</v>
      </c>
    </row>
    <row r="357" spans="1:14" hidden="1" x14ac:dyDescent="0.3">
      <c r="A357">
        <v>17238</v>
      </c>
      <c r="B357" t="s">
        <v>37</v>
      </c>
      <c r="C357" t="s">
        <v>39</v>
      </c>
      <c r="D357" s="1">
        <v>80000</v>
      </c>
      <c r="E357">
        <v>0</v>
      </c>
      <c r="F357" t="s">
        <v>13</v>
      </c>
      <c r="G357" t="s">
        <v>21</v>
      </c>
      <c r="H357" t="s">
        <v>15</v>
      </c>
      <c r="I357">
        <v>3</v>
      </c>
      <c r="J357" t="s">
        <v>30</v>
      </c>
      <c r="K357" t="s">
        <v>24</v>
      </c>
      <c r="L357">
        <v>32</v>
      </c>
      <c r="M357" t="str">
        <f t="shared" si="5"/>
        <v>Adolescence</v>
      </c>
      <c r="N357" t="s">
        <v>18</v>
      </c>
    </row>
    <row r="358" spans="1:14" hidden="1"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hidden="1" x14ac:dyDescent="0.3">
      <c r="A359">
        <v>22538</v>
      </c>
      <c r="B359" t="s">
        <v>37</v>
      </c>
      <c r="C359" t="s">
        <v>38</v>
      </c>
      <c r="D359" s="1">
        <v>10000</v>
      </c>
      <c r="E359">
        <v>0</v>
      </c>
      <c r="F359" t="s">
        <v>29</v>
      </c>
      <c r="G359" t="s">
        <v>25</v>
      </c>
      <c r="H359" t="s">
        <v>15</v>
      </c>
      <c r="I359">
        <v>2</v>
      </c>
      <c r="J359" t="s">
        <v>26</v>
      </c>
      <c r="K359" t="s">
        <v>17</v>
      </c>
      <c r="L359">
        <v>33</v>
      </c>
      <c r="M359" t="str">
        <f t="shared" si="5"/>
        <v>Adolescence</v>
      </c>
      <c r="N359" t="s">
        <v>18</v>
      </c>
    </row>
    <row r="360" spans="1:14" hidden="1" x14ac:dyDescent="0.3">
      <c r="A360">
        <v>12332</v>
      </c>
      <c r="B360" t="s">
        <v>36</v>
      </c>
      <c r="C360" t="s">
        <v>39</v>
      </c>
      <c r="D360" s="1">
        <v>90000</v>
      </c>
      <c r="E360">
        <v>4</v>
      </c>
      <c r="F360" t="s">
        <v>27</v>
      </c>
      <c r="G360" t="s">
        <v>28</v>
      </c>
      <c r="H360" t="s">
        <v>15</v>
      </c>
      <c r="I360">
        <v>3</v>
      </c>
      <c r="J360" t="s">
        <v>23</v>
      </c>
      <c r="K360" t="s">
        <v>17</v>
      </c>
      <c r="L360">
        <v>58</v>
      </c>
      <c r="M360" t="str">
        <f t="shared" si="5"/>
        <v>Middle Age</v>
      </c>
      <c r="N360" t="s">
        <v>15</v>
      </c>
    </row>
    <row r="361" spans="1:14" hidden="1" x14ac:dyDescent="0.3">
      <c r="A361">
        <v>17230</v>
      </c>
      <c r="B361" t="s">
        <v>36</v>
      </c>
      <c r="C361" t="s">
        <v>39</v>
      </c>
      <c r="D361" s="1">
        <v>80000</v>
      </c>
      <c r="E361">
        <v>0</v>
      </c>
      <c r="F361" t="s">
        <v>13</v>
      </c>
      <c r="G361" t="s">
        <v>21</v>
      </c>
      <c r="H361" t="s">
        <v>15</v>
      </c>
      <c r="I361">
        <v>3</v>
      </c>
      <c r="J361" t="s">
        <v>30</v>
      </c>
      <c r="K361" t="s">
        <v>24</v>
      </c>
      <c r="L361">
        <v>30</v>
      </c>
      <c r="M361" t="str">
        <f t="shared" si="5"/>
        <v>Adolescence</v>
      </c>
      <c r="N361" t="s">
        <v>18</v>
      </c>
    </row>
    <row r="362" spans="1:14" hidden="1"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hidden="1" x14ac:dyDescent="0.3">
      <c r="A363">
        <v>22518</v>
      </c>
      <c r="B363" t="s">
        <v>37</v>
      </c>
      <c r="C363" t="s">
        <v>38</v>
      </c>
      <c r="D363" s="1">
        <v>30000</v>
      </c>
      <c r="E363">
        <v>3</v>
      </c>
      <c r="F363" t="s">
        <v>19</v>
      </c>
      <c r="G363" t="s">
        <v>20</v>
      </c>
      <c r="H363" t="s">
        <v>18</v>
      </c>
      <c r="I363">
        <v>2</v>
      </c>
      <c r="J363" t="s">
        <v>16</v>
      </c>
      <c r="K363" t="s">
        <v>17</v>
      </c>
      <c r="L363">
        <v>27</v>
      </c>
      <c r="M363" t="str">
        <f t="shared" si="5"/>
        <v>Adolescence</v>
      </c>
      <c r="N363" t="s">
        <v>15</v>
      </c>
    </row>
    <row r="364" spans="1:14" hidden="1" x14ac:dyDescent="0.3">
      <c r="A364">
        <v>13687</v>
      </c>
      <c r="B364" t="s">
        <v>36</v>
      </c>
      <c r="C364" t="s">
        <v>39</v>
      </c>
      <c r="D364" s="1">
        <v>40000</v>
      </c>
      <c r="E364">
        <v>1</v>
      </c>
      <c r="F364" t="s">
        <v>13</v>
      </c>
      <c r="G364" t="s">
        <v>14</v>
      </c>
      <c r="H364" t="s">
        <v>15</v>
      </c>
      <c r="I364">
        <v>1</v>
      </c>
      <c r="J364" t="s">
        <v>16</v>
      </c>
      <c r="K364" t="s">
        <v>17</v>
      </c>
      <c r="L364">
        <v>33</v>
      </c>
      <c r="M364" t="str">
        <f t="shared" si="5"/>
        <v>Adolescence</v>
      </c>
      <c r="N364" t="s">
        <v>15</v>
      </c>
    </row>
    <row r="365" spans="1:14" hidden="1"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Young</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Young</v>
      </c>
      <c r="N367" t="s">
        <v>15</v>
      </c>
    </row>
    <row r="368" spans="1:14" hidden="1"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hidden="1"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hidden="1" x14ac:dyDescent="0.3">
      <c r="A370">
        <v>25918</v>
      </c>
      <c r="B370" t="s">
        <v>37</v>
      </c>
      <c r="C370" t="s">
        <v>38</v>
      </c>
      <c r="D370" s="1">
        <v>30000</v>
      </c>
      <c r="E370">
        <v>2</v>
      </c>
      <c r="F370" t="s">
        <v>19</v>
      </c>
      <c r="G370" t="s">
        <v>20</v>
      </c>
      <c r="H370" t="s">
        <v>18</v>
      </c>
      <c r="I370">
        <v>2</v>
      </c>
      <c r="J370" t="s">
        <v>23</v>
      </c>
      <c r="K370" t="s">
        <v>24</v>
      </c>
      <c r="L370">
        <v>60</v>
      </c>
      <c r="M370" t="str">
        <f t="shared" si="5"/>
        <v>Middle Age</v>
      </c>
      <c r="N370" t="s">
        <v>15</v>
      </c>
    </row>
    <row r="371" spans="1:14" hidden="1"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hidden="1" x14ac:dyDescent="0.3">
      <c r="A372">
        <v>17324</v>
      </c>
      <c r="B372" t="s">
        <v>36</v>
      </c>
      <c r="C372" t="s">
        <v>38</v>
      </c>
      <c r="D372" s="1">
        <v>100000</v>
      </c>
      <c r="E372">
        <v>4</v>
      </c>
      <c r="F372" t="s">
        <v>13</v>
      </c>
      <c r="G372" t="s">
        <v>21</v>
      </c>
      <c r="H372" t="s">
        <v>15</v>
      </c>
      <c r="I372">
        <v>1</v>
      </c>
      <c r="J372" t="s">
        <v>30</v>
      </c>
      <c r="K372" t="s">
        <v>24</v>
      </c>
      <c r="L372">
        <v>46</v>
      </c>
      <c r="M372" t="str">
        <f t="shared" si="5"/>
        <v>Middle Age</v>
      </c>
      <c r="N372" t="s">
        <v>18</v>
      </c>
    </row>
    <row r="373" spans="1:14" hidden="1"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Young</v>
      </c>
      <c r="N374" t="s">
        <v>15</v>
      </c>
    </row>
    <row r="375" spans="1:14" hidden="1" x14ac:dyDescent="0.3">
      <c r="A375">
        <v>25512</v>
      </c>
      <c r="B375" t="s">
        <v>37</v>
      </c>
      <c r="C375" t="s">
        <v>39</v>
      </c>
      <c r="D375" s="1">
        <v>20000</v>
      </c>
      <c r="E375">
        <v>0</v>
      </c>
      <c r="F375" t="s">
        <v>27</v>
      </c>
      <c r="G375" t="s">
        <v>25</v>
      </c>
      <c r="H375" t="s">
        <v>18</v>
      </c>
      <c r="I375">
        <v>1</v>
      </c>
      <c r="J375" t="s">
        <v>22</v>
      </c>
      <c r="K375" t="s">
        <v>17</v>
      </c>
      <c r="L375">
        <v>30</v>
      </c>
      <c r="M375" t="str">
        <f t="shared" si="5"/>
        <v>Adolescence</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Young</v>
      </c>
      <c r="N376" t="s">
        <v>18</v>
      </c>
    </row>
    <row r="377" spans="1:14" hidden="1"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hidden="1" x14ac:dyDescent="0.3">
      <c r="A378">
        <v>20977</v>
      </c>
      <c r="B378" t="s">
        <v>36</v>
      </c>
      <c r="C378" t="s">
        <v>39</v>
      </c>
      <c r="D378" s="1">
        <v>20000</v>
      </c>
      <c r="E378">
        <v>1</v>
      </c>
      <c r="F378" t="s">
        <v>13</v>
      </c>
      <c r="G378" t="s">
        <v>20</v>
      </c>
      <c r="H378" t="s">
        <v>15</v>
      </c>
      <c r="I378">
        <v>0</v>
      </c>
      <c r="J378" t="s">
        <v>16</v>
      </c>
      <c r="K378" t="s">
        <v>17</v>
      </c>
      <c r="L378">
        <v>64</v>
      </c>
      <c r="M378" t="str">
        <f t="shared" si="5"/>
        <v>Middle Age</v>
      </c>
      <c r="N378" t="s">
        <v>15</v>
      </c>
    </row>
    <row r="379" spans="1:14" hidden="1"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hidden="1" x14ac:dyDescent="0.3">
      <c r="A380">
        <v>20417</v>
      </c>
      <c r="B380" t="s">
        <v>36</v>
      </c>
      <c r="C380" t="s">
        <v>39</v>
      </c>
      <c r="D380" s="1">
        <v>30000</v>
      </c>
      <c r="E380">
        <v>3</v>
      </c>
      <c r="F380" t="s">
        <v>19</v>
      </c>
      <c r="G380" t="s">
        <v>20</v>
      </c>
      <c r="H380" t="s">
        <v>18</v>
      </c>
      <c r="I380">
        <v>2</v>
      </c>
      <c r="J380" t="s">
        <v>23</v>
      </c>
      <c r="K380" t="s">
        <v>24</v>
      </c>
      <c r="L380">
        <v>56</v>
      </c>
      <c r="M380" t="str">
        <f t="shared" si="5"/>
        <v>Middle Age</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Young</v>
      </c>
      <c r="N381" t="s">
        <v>18</v>
      </c>
    </row>
    <row r="382" spans="1:14" hidden="1" x14ac:dyDescent="0.3">
      <c r="A382">
        <v>13620</v>
      </c>
      <c r="B382" t="s">
        <v>37</v>
      </c>
      <c r="C382" t="s">
        <v>39</v>
      </c>
      <c r="D382" s="1">
        <v>70000</v>
      </c>
      <c r="E382">
        <v>0</v>
      </c>
      <c r="F382" t="s">
        <v>13</v>
      </c>
      <c r="G382" t="s">
        <v>21</v>
      </c>
      <c r="H382" t="s">
        <v>18</v>
      </c>
      <c r="I382">
        <v>3</v>
      </c>
      <c r="J382" t="s">
        <v>30</v>
      </c>
      <c r="K382" t="s">
        <v>24</v>
      </c>
      <c r="L382">
        <v>30</v>
      </c>
      <c r="M382" t="str">
        <f t="shared" si="5"/>
        <v>Adolescence</v>
      </c>
      <c r="N382" t="s">
        <v>15</v>
      </c>
    </row>
    <row r="383" spans="1:14" hidden="1"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hidden="1" x14ac:dyDescent="0.3">
      <c r="A384">
        <v>13586</v>
      </c>
      <c r="B384" t="s">
        <v>36</v>
      </c>
      <c r="C384" t="s">
        <v>39</v>
      </c>
      <c r="D384" s="1">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Young</v>
      </c>
      <c r="N385" t="s">
        <v>15</v>
      </c>
    </row>
    <row r="386" spans="1:14" hidden="1" x14ac:dyDescent="0.3">
      <c r="A386">
        <v>12581</v>
      </c>
      <c r="B386" t="s">
        <v>37</v>
      </c>
      <c r="C386" t="s">
        <v>38</v>
      </c>
      <c r="D386" s="1">
        <v>10000</v>
      </c>
      <c r="E386">
        <v>0</v>
      </c>
      <c r="F386" t="s">
        <v>19</v>
      </c>
      <c r="G386" t="s">
        <v>25</v>
      </c>
      <c r="H386" t="s">
        <v>18</v>
      </c>
      <c r="I386">
        <v>1</v>
      </c>
      <c r="J386" t="s">
        <v>16</v>
      </c>
      <c r="K386" t="s">
        <v>24</v>
      </c>
      <c r="L386">
        <v>28</v>
      </c>
      <c r="M386" t="str">
        <f t="shared" si="5"/>
        <v>Adolescence</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IF(L387&gt;=65, "Old", IF(L387&gt;=45, "Middle Age", IF(L387&gt;=35, "Young", IF(L387&gt;=25, "Adolescence", "Invalid"))))</f>
        <v>Young</v>
      </c>
      <c r="N387" t="s">
        <v>18</v>
      </c>
    </row>
    <row r="388" spans="1:14" hidden="1" x14ac:dyDescent="0.3">
      <c r="A388">
        <v>28957</v>
      </c>
      <c r="B388" t="s">
        <v>37</v>
      </c>
      <c r="C388" t="s">
        <v>38</v>
      </c>
      <c r="D388" s="1">
        <v>120000</v>
      </c>
      <c r="E388">
        <v>0</v>
      </c>
      <c r="F388" t="s">
        <v>29</v>
      </c>
      <c r="G388" t="s">
        <v>21</v>
      </c>
      <c r="H388" t="s">
        <v>15</v>
      </c>
      <c r="I388">
        <v>4</v>
      </c>
      <c r="J388" t="s">
        <v>30</v>
      </c>
      <c r="K388" t="s">
        <v>24</v>
      </c>
      <c r="L388">
        <v>34</v>
      </c>
      <c r="M388" t="str">
        <f t="shared" si="6"/>
        <v>Adolescence</v>
      </c>
      <c r="N388" t="s">
        <v>15</v>
      </c>
    </row>
    <row r="389" spans="1:14" hidden="1" x14ac:dyDescent="0.3">
      <c r="A389">
        <v>13690</v>
      </c>
      <c r="B389" t="s">
        <v>37</v>
      </c>
      <c r="C389" t="s">
        <v>38</v>
      </c>
      <c r="D389" s="1">
        <v>20000</v>
      </c>
      <c r="E389">
        <v>0</v>
      </c>
      <c r="F389" t="s">
        <v>29</v>
      </c>
      <c r="G389" t="s">
        <v>25</v>
      </c>
      <c r="H389" t="s">
        <v>18</v>
      </c>
      <c r="I389">
        <v>2</v>
      </c>
      <c r="J389" t="s">
        <v>26</v>
      </c>
      <c r="K389" t="s">
        <v>17</v>
      </c>
      <c r="L389">
        <v>34</v>
      </c>
      <c r="M389" t="str">
        <f t="shared" si="6"/>
        <v>Adolescence</v>
      </c>
      <c r="N389" t="s">
        <v>15</v>
      </c>
    </row>
    <row r="390" spans="1:14" hidden="1" x14ac:dyDescent="0.3">
      <c r="A390">
        <v>12568</v>
      </c>
      <c r="B390" t="s">
        <v>36</v>
      </c>
      <c r="C390" t="s">
        <v>38</v>
      </c>
      <c r="D390" s="1">
        <v>30000</v>
      </c>
      <c r="E390">
        <v>1</v>
      </c>
      <c r="F390" t="s">
        <v>13</v>
      </c>
      <c r="G390" t="s">
        <v>20</v>
      </c>
      <c r="H390" t="s">
        <v>15</v>
      </c>
      <c r="I390">
        <v>0</v>
      </c>
      <c r="J390" t="s">
        <v>16</v>
      </c>
      <c r="K390" t="s">
        <v>17</v>
      </c>
      <c r="L390">
        <v>64</v>
      </c>
      <c r="M390" t="str">
        <f t="shared" si="6"/>
        <v>Middle Age</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Young</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Young</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Young</v>
      </c>
      <c r="N393" t="s">
        <v>15</v>
      </c>
    </row>
    <row r="394" spans="1:14" hidden="1"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hidden="1" x14ac:dyDescent="0.3">
      <c r="A395">
        <v>23962</v>
      </c>
      <c r="B395" t="s">
        <v>36</v>
      </c>
      <c r="C395" t="s">
        <v>38</v>
      </c>
      <c r="D395" s="1">
        <v>10000</v>
      </c>
      <c r="E395">
        <v>0</v>
      </c>
      <c r="F395" t="s">
        <v>29</v>
      </c>
      <c r="G395" t="s">
        <v>25</v>
      </c>
      <c r="H395" t="s">
        <v>15</v>
      </c>
      <c r="I395">
        <v>2</v>
      </c>
      <c r="J395" t="s">
        <v>26</v>
      </c>
      <c r="K395" t="s">
        <v>17</v>
      </c>
      <c r="L395">
        <v>32</v>
      </c>
      <c r="M395" t="str">
        <f t="shared" si="6"/>
        <v>Adolescence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Young</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Young</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Young</v>
      </c>
      <c r="N398" t="s">
        <v>15</v>
      </c>
    </row>
    <row r="399" spans="1:14" hidden="1" x14ac:dyDescent="0.3">
      <c r="A399">
        <v>21365</v>
      </c>
      <c r="B399" t="s">
        <v>36</v>
      </c>
      <c r="C399" t="s">
        <v>38</v>
      </c>
      <c r="D399" s="1">
        <v>10000</v>
      </c>
      <c r="E399">
        <v>2</v>
      </c>
      <c r="F399" t="s">
        <v>29</v>
      </c>
      <c r="G399" t="s">
        <v>20</v>
      </c>
      <c r="H399" t="s">
        <v>15</v>
      </c>
      <c r="I399">
        <v>2</v>
      </c>
      <c r="J399" t="s">
        <v>23</v>
      </c>
      <c r="K399" t="s">
        <v>24</v>
      </c>
      <c r="L399">
        <v>58</v>
      </c>
      <c r="M399" t="str">
        <f t="shared" si="6"/>
        <v>Middle Age</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Young</v>
      </c>
      <c r="N400" t="s">
        <v>15</v>
      </c>
    </row>
    <row r="401" spans="1:14" hidden="1"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hidden="1" x14ac:dyDescent="0.3">
      <c r="A402">
        <v>25792</v>
      </c>
      <c r="B402" t="s">
        <v>37</v>
      </c>
      <c r="C402" t="s">
        <v>38</v>
      </c>
      <c r="D402" s="1">
        <v>110000</v>
      </c>
      <c r="E402">
        <v>3</v>
      </c>
      <c r="F402" t="s">
        <v>13</v>
      </c>
      <c r="G402" t="s">
        <v>28</v>
      </c>
      <c r="H402" t="s">
        <v>15</v>
      </c>
      <c r="I402">
        <v>4</v>
      </c>
      <c r="J402" t="s">
        <v>30</v>
      </c>
      <c r="K402" t="s">
        <v>17</v>
      </c>
      <c r="L402">
        <v>53</v>
      </c>
      <c r="M402" t="str">
        <f t="shared" si="6"/>
        <v>Middle Age</v>
      </c>
      <c r="N402" t="s">
        <v>18</v>
      </c>
    </row>
    <row r="403" spans="1:14" hidden="1"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Young</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Young</v>
      </c>
      <c r="N405" t="s">
        <v>18</v>
      </c>
    </row>
    <row r="406" spans="1:14" hidden="1"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Young</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Young</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Young</v>
      </c>
      <c r="N409" t="s">
        <v>15</v>
      </c>
    </row>
    <row r="410" spans="1:14" hidden="1" x14ac:dyDescent="0.3">
      <c r="A410">
        <v>12744</v>
      </c>
      <c r="B410" t="s">
        <v>37</v>
      </c>
      <c r="C410" t="s">
        <v>38</v>
      </c>
      <c r="D410" s="1">
        <v>40000</v>
      </c>
      <c r="E410">
        <v>2</v>
      </c>
      <c r="F410" t="s">
        <v>19</v>
      </c>
      <c r="G410" t="s">
        <v>20</v>
      </c>
      <c r="H410" t="s">
        <v>15</v>
      </c>
      <c r="I410">
        <v>0</v>
      </c>
      <c r="J410" t="s">
        <v>16</v>
      </c>
      <c r="K410" t="s">
        <v>17</v>
      </c>
      <c r="L410">
        <v>33</v>
      </c>
      <c r="M410" t="str">
        <f t="shared" si="6"/>
        <v>Adolescence</v>
      </c>
      <c r="N410" t="s">
        <v>18</v>
      </c>
    </row>
    <row r="411" spans="1:14" hidden="1"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hidden="1"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Young</v>
      </c>
      <c r="N413" t="s">
        <v>18</v>
      </c>
    </row>
    <row r="414" spans="1:14" hidden="1" x14ac:dyDescent="0.3">
      <c r="A414">
        <v>20053</v>
      </c>
      <c r="B414" t="s">
        <v>37</v>
      </c>
      <c r="C414" t="s">
        <v>39</v>
      </c>
      <c r="D414" s="1">
        <v>40000</v>
      </c>
      <c r="E414">
        <v>2</v>
      </c>
      <c r="F414" t="s">
        <v>19</v>
      </c>
      <c r="G414" t="s">
        <v>20</v>
      </c>
      <c r="H414" t="s">
        <v>15</v>
      </c>
      <c r="I414">
        <v>0</v>
      </c>
      <c r="J414" t="s">
        <v>16</v>
      </c>
      <c r="K414" t="s">
        <v>17</v>
      </c>
      <c r="L414">
        <v>34</v>
      </c>
      <c r="M414" t="str">
        <f t="shared" si="6"/>
        <v>Adolescence</v>
      </c>
      <c r="N414" t="s">
        <v>18</v>
      </c>
    </row>
    <row r="415" spans="1:14" hidden="1"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Young</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Young</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Young</v>
      </c>
      <c r="N418" t="s">
        <v>15</v>
      </c>
    </row>
    <row r="419" spans="1:14" hidden="1"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Young</v>
      </c>
      <c r="N420" t="s">
        <v>15</v>
      </c>
    </row>
    <row r="421" spans="1:14" hidden="1"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hidden="1" x14ac:dyDescent="0.3">
      <c r="A422">
        <v>18153</v>
      </c>
      <c r="B422" t="s">
        <v>36</v>
      </c>
      <c r="C422" t="s">
        <v>38</v>
      </c>
      <c r="D422" s="1">
        <v>100000</v>
      </c>
      <c r="E422">
        <v>2</v>
      </c>
      <c r="F422" t="s">
        <v>13</v>
      </c>
      <c r="G422" t="s">
        <v>28</v>
      </c>
      <c r="H422" t="s">
        <v>15</v>
      </c>
      <c r="I422">
        <v>4</v>
      </c>
      <c r="J422" t="s">
        <v>30</v>
      </c>
      <c r="K422" t="s">
        <v>17</v>
      </c>
      <c r="L422">
        <v>59</v>
      </c>
      <c r="M422" t="str">
        <f t="shared" si="6"/>
        <v>Middle Age</v>
      </c>
      <c r="N422" t="s">
        <v>18</v>
      </c>
    </row>
    <row r="423" spans="1:14" hidden="1"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hidden="1" x14ac:dyDescent="0.3">
      <c r="A424">
        <v>24901</v>
      </c>
      <c r="B424" t="s">
        <v>37</v>
      </c>
      <c r="C424" t="s">
        <v>39</v>
      </c>
      <c r="D424" s="1">
        <v>110000</v>
      </c>
      <c r="E424">
        <v>0</v>
      </c>
      <c r="F424" t="s">
        <v>19</v>
      </c>
      <c r="G424" t="s">
        <v>28</v>
      </c>
      <c r="H424" t="s">
        <v>18</v>
      </c>
      <c r="I424">
        <v>3</v>
      </c>
      <c r="J424" t="s">
        <v>30</v>
      </c>
      <c r="K424" t="s">
        <v>24</v>
      </c>
      <c r="L424">
        <v>32</v>
      </c>
      <c r="M424" t="str">
        <f t="shared" si="6"/>
        <v>Adolescence</v>
      </c>
      <c r="N424" t="s">
        <v>15</v>
      </c>
    </row>
    <row r="425" spans="1:14" hidden="1" x14ac:dyDescent="0.3">
      <c r="A425">
        <v>27169</v>
      </c>
      <c r="B425" t="s">
        <v>37</v>
      </c>
      <c r="C425" t="s">
        <v>39</v>
      </c>
      <c r="D425" s="1">
        <v>30000</v>
      </c>
      <c r="E425">
        <v>0</v>
      </c>
      <c r="F425" t="s">
        <v>27</v>
      </c>
      <c r="G425" t="s">
        <v>25</v>
      </c>
      <c r="H425" t="s">
        <v>15</v>
      </c>
      <c r="I425">
        <v>1</v>
      </c>
      <c r="J425" t="s">
        <v>22</v>
      </c>
      <c r="K425" t="s">
        <v>17</v>
      </c>
      <c r="L425">
        <v>34</v>
      </c>
      <c r="M425" t="str">
        <f t="shared" si="6"/>
        <v>Adolescence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Young</v>
      </c>
      <c r="N426" t="s">
        <v>18</v>
      </c>
    </row>
    <row r="427" spans="1:14" hidden="1"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hidden="1" x14ac:dyDescent="0.3">
      <c r="A428">
        <v>19389</v>
      </c>
      <c r="B428" t="s">
        <v>37</v>
      </c>
      <c r="C428" t="s">
        <v>39</v>
      </c>
      <c r="D428" s="1">
        <v>30000</v>
      </c>
      <c r="E428">
        <v>0</v>
      </c>
      <c r="F428" t="s">
        <v>19</v>
      </c>
      <c r="G428" t="s">
        <v>20</v>
      </c>
      <c r="H428" t="s">
        <v>18</v>
      </c>
      <c r="I428">
        <v>1</v>
      </c>
      <c r="J428" t="s">
        <v>22</v>
      </c>
      <c r="K428" t="s">
        <v>17</v>
      </c>
      <c r="L428">
        <v>28</v>
      </c>
      <c r="M428" t="str">
        <f t="shared" si="6"/>
        <v>Adolescence</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Young</v>
      </c>
      <c r="N429" t="s">
        <v>15</v>
      </c>
    </row>
    <row r="430" spans="1:14" hidden="1"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hidden="1" x14ac:dyDescent="0.3">
      <c r="A431">
        <v>12718</v>
      </c>
      <c r="B431" t="s">
        <v>37</v>
      </c>
      <c r="C431" t="s">
        <v>38</v>
      </c>
      <c r="D431" s="1">
        <v>30000</v>
      </c>
      <c r="E431">
        <v>0</v>
      </c>
      <c r="F431" t="s">
        <v>19</v>
      </c>
      <c r="G431" t="s">
        <v>20</v>
      </c>
      <c r="H431" t="s">
        <v>15</v>
      </c>
      <c r="I431">
        <v>1</v>
      </c>
      <c r="J431" t="s">
        <v>22</v>
      </c>
      <c r="K431" t="s">
        <v>17</v>
      </c>
      <c r="L431">
        <v>31</v>
      </c>
      <c r="M431" t="str">
        <f t="shared" si="6"/>
        <v>Adolescence</v>
      </c>
      <c r="N431" t="s">
        <v>18</v>
      </c>
    </row>
    <row r="432" spans="1:14" hidden="1" x14ac:dyDescent="0.3">
      <c r="A432">
        <v>15019</v>
      </c>
      <c r="B432" t="s">
        <v>37</v>
      </c>
      <c r="C432" t="s">
        <v>38</v>
      </c>
      <c r="D432" s="1">
        <v>30000</v>
      </c>
      <c r="E432">
        <v>3</v>
      </c>
      <c r="F432" t="s">
        <v>27</v>
      </c>
      <c r="G432" t="s">
        <v>14</v>
      </c>
      <c r="H432" t="s">
        <v>15</v>
      </c>
      <c r="I432">
        <v>2</v>
      </c>
      <c r="J432" t="s">
        <v>23</v>
      </c>
      <c r="K432" t="s">
        <v>24</v>
      </c>
      <c r="L432">
        <v>55</v>
      </c>
      <c r="M432" t="str">
        <f t="shared" si="6"/>
        <v>Middle Age</v>
      </c>
      <c r="N432" t="s">
        <v>18</v>
      </c>
    </row>
    <row r="433" spans="1:14" hidden="1" x14ac:dyDescent="0.3">
      <c r="A433">
        <v>28488</v>
      </c>
      <c r="B433" t="s">
        <v>37</v>
      </c>
      <c r="C433" t="s">
        <v>39</v>
      </c>
      <c r="D433" s="1">
        <v>20000</v>
      </c>
      <c r="E433">
        <v>0</v>
      </c>
      <c r="F433" t="s">
        <v>19</v>
      </c>
      <c r="G433" t="s">
        <v>25</v>
      </c>
      <c r="H433" t="s">
        <v>15</v>
      </c>
      <c r="I433">
        <v>0</v>
      </c>
      <c r="J433" t="s">
        <v>16</v>
      </c>
      <c r="K433" t="s">
        <v>24</v>
      </c>
      <c r="L433">
        <v>28</v>
      </c>
      <c r="M433" t="str">
        <f t="shared" si="6"/>
        <v>Adolescence</v>
      </c>
      <c r="N433" t="s">
        <v>15</v>
      </c>
    </row>
    <row r="434" spans="1:14" hidden="1" x14ac:dyDescent="0.3">
      <c r="A434">
        <v>21891</v>
      </c>
      <c r="B434" t="s">
        <v>36</v>
      </c>
      <c r="C434" t="s">
        <v>38</v>
      </c>
      <c r="D434" s="1">
        <v>110000</v>
      </c>
      <c r="E434">
        <v>0</v>
      </c>
      <c r="F434" t="s">
        <v>27</v>
      </c>
      <c r="G434" t="s">
        <v>28</v>
      </c>
      <c r="H434" t="s">
        <v>15</v>
      </c>
      <c r="I434">
        <v>3</v>
      </c>
      <c r="J434" t="s">
        <v>30</v>
      </c>
      <c r="K434" t="s">
        <v>24</v>
      </c>
      <c r="L434">
        <v>34</v>
      </c>
      <c r="M434" t="str">
        <f t="shared" si="6"/>
        <v>Adolescence</v>
      </c>
      <c r="N434" t="s">
        <v>15</v>
      </c>
    </row>
    <row r="435" spans="1:14" hidden="1" x14ac:dyDescent="0.3">
      <c r="A435">
        <v>27814</v>
      </c>
      <c r="B435" t="s">
        <v>37</v>
      </c>
      <c r="C435" t="s">
        <v>38</v>
      </c>
      <c r="D435" s="1">
        <v>30000</v>
      </c>
      <c r="E435">
        <v>3</v>
      </c>
      <c r="F435" t="s">
        <v>19</v>
      </c>
      <c r="G435" t="s">
        <v>20</v>
      </c>
      <c r="H435" t="s">
        <v>18</v>
      </c>
      <c r="I435">
        <v>1</v>
      </c>
      <c r="J435" t="s">
        <v>16</v>
      </c>
      <c r="K435" t="s">
        <v>17</v>
      </c>
      <c r="L435">
        <v>26</v>
      </c>
      <c r="M435" t="str">
        <f t="shared" si="6"/>
        <v>Adolescence</v>
      </c>
      <c r="N435" t="s">
        <v>18</v>
      </c>
    </row>
    <row r="436" spans="1:14" hidden="1"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hidden="1"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hidden="1"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hidden="1" x14ac:dyDescent="0.3">
      <c r="A439">
        <v>27824</v>
      </c>
      <c r="B439" t="s">
        <v>37</v>
      </c>
      <c r="C439" t="s">
        <v>38</v>
      </c>
      <c r="D439" s="1">
        <v>30000</v>
      </c>
      <c r="E439">
        <v>3</v>
      </c>
      <c r="F439" t="s">
        <v>19</v>
      </c>
      <c r="G439" t="s">
        <v>20</v>
      </c>
      <c r="H439" t="s">
        <v>15</v>
      </c>
      <c r="I439">
        <v>2</v>
      </c>
      <c r="J439" t="s">
        <v>16</v>
      </c>
      <c r="K439" t="s">
        <v>17</v>
      </c>
      <c r="L439">
        <v>28</v>
      </c>
      <c r="M439" t="str">
        <f t="shared" si="6"/>
        <v>Adolescence</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Young</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Young</v>
      </c>
      <c r="N441" t="s">
        <v>18</v>
      </c>
    </row>
    <row r="442" spans="1:14" hidden="1" x14ac:dyDescent="0.3">
      <c r="A442">
        <v>21561</v>
      </c>
      <c r="B442" t="s">
        <v>37</v>
      </c>
      <c r="C442" t="s">
        <v>39</v>
      </c>
      <c r="D442" s="1">
        <v>90000</v>
      </c>
      <c r="E442">
        <v>0</v>
      </c>
      <c r="F442" t="s">
        <v>13</v>
      </c>
      <c r="G442" t="s">
        <v>21</v>
      </c>
      <c r="H442" t="s">
        <v>18</v>
      </c>
      <c r="I442">
        <v>3</v>
      </c>
      <c r="J442" t="s">
        <v>30</v>
      </c>
      <c r="K442" t="s">
        <v>24</v>
      </c>
      <c r="L442">
        <v>34</v>
      </c>
      <c r="M442" t="str">
        <f t="shared" si="6"/>
        <v>Adolescence</v>
      </c>
      <c r="N442" t="s">
        <v>15</v>
      </c>
    </row>
    <row r="443" spans="1:14" hidden="1"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Young</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Young</v>
      </c>
      <c r="N445" t="s">
        <v>15</v>
      </c>
    </row>
    <row r="446" spans="1:14" hidden="1" x14ac:dyDescent="0.3">
      <c r="A446">
        <v>12731</v>
      </c>
      <c r="B446" t="s">
        <v>37</v>
      </c>
      <c r="C446" t="s">
        <v>39</v>
      </c>
      <c r="D446" s="1">
        <v>30000</v>
      </c>
      <c r="E446">
        <v>0</v>
      </c>
      <c r="F446" t="s">
        <v>27</v>
      </c>
      <c r="G446" t="s">
        <v>25</v>
      </c>
      <c r="H446" t="s">
        <v>18</v>
      </c>
      <c r="I446">
        <v>1</v>
      </c>
      <c r="J446" t="s">
        <v>26</v>
      </c>
      <c r="K446" t="s">
        <v>17</v>
      </c>
      <c r="L446">
        <v>32</v>
      </c>
      <c r="M446" t="str">
        <f t="shared" si="6"/>
        <v>Adolescence</v>
      </c>
      <c r="N446" t="s">
        <v>18</v>
      </c>
    </row>
    <row r="447" spans="1:14" hidden="1" x14ac:dyDescent="0.3">
      <c r="A447">
        <v>25307</v>
      </c>
      <c r="B447" t="s">
        <v>36</v>
      </c>
      <c r="C447" t="s">
        <v>38</v>
      </c>
      <c r="D447" s="1">
        <v>40000</v>
      </c>
      <c r="E447">
        <v>1</v>
      </c>
      <c r="F447" t="s">
        <v>13</v>
      </c>
      <c r="G447" t="s">
        <v>14</v>
      </c>
      <c r="H447" t="s">
        <v>15</v>
      </c>
      <c r="I447">
        <v>1</v>
      </c>
      <c r="J447" t="s">
        <v>26</v>
      </c>
      <c r="K447" t="s">
        <v>17</v>
      </c>
      <c r="L447">
        <v>32</v>
      </c>
      <c r="M447" t="str">
        <f t="shared" si="6"/>
        <v>Adolescence</v>
      </c>
      <c r="N447" t="s">
        <v>15</v>
      </c>
    </row>
    <row r="448" spans="1:14" hidden="1" x14ac:dyDescent="0.3">
      <c r="A448">
        <v>14278</v>
      </c>
      <c r="B448" t="s">
        <v>36</v>
      </c>
      <c r="C448" t="s">
        <v>38</v>
      </c>
      <c r="D448" s="1">
        <v>130000</v>
      </c>
      <c r="E448">
        <v>0</v>
      </c>
      <c r="F448" t="s">
        <v>31</v>
      </c>
      <c r="G448" t="s">
        <v>28</v>
      </c>
      <c r="H448" t="s">
        <v>15</v>
      </c>
      <c r="I448">
        <v>1</v>
      </c>
      <c r="J448" t="s">
        <v>30</v>
      </c>
      <c r="K448" t="s">
        <v>24</v>
      </c>
      <c r="L448">
        <v>48</v>
      </c>
      <c r="M448" t="str">
        <f t="shared" si="6"/>
        <v>Middle Age</v>
      </c>
      <c r="N448" t="s">
        <v>18</v>
      </c>
    </row>
    <row r="449" spans="1:14" hidden="1" x14ac:dyDescent="0.3">
      <c r="A449">
        <v>20711</v>
      </c>
      <c r="B449" t="s">
        <v>36</v>
      </c>
      <c r="C449" t="s">
        <v>38</v>
      </c>
      <c r="D449" s="1">
        <v>40000</v>
      </c>
      <c r="E449">
        <v>1</v>
      </c>
      <c r="F449" t="s">
        <v>13</v>
      </c>
      <c r="G449" t="s">
        <v>14</v>
      </c>
      <c r="H449" t="s">
        <v>15</v>
      </c>
      <c r="I449">
        <v>0</v>
      </c>
      <c r="J449" t="s">
        <v>26</v>
      </c>
      <c r="K449" t="s">
        <v>17</v>
      </c>
      <c r="L449">
        <v>32</v>
      </c>
      <c r="M449" t="str">
        <f t="shared" si="6"/>
        <v>Adolescence</v>
      </c>
      <c r="N449" t="s">
        <v>15</v>
      </c>
    </row>
    <row r="450" spans="1:14" hidden="1"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IF(L451&gt;=65, "Old", IF(L451&gt;=45, "Middle Age", IF(L451&gt;=35, "Young", IF(L451&gt;=25, "Adolescence", "Invalid"))))</f>
        <v>Young</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Young</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Young</v>
      </c>
      <c r="N453" t="s">
        <v>18</v>
      </c>
    </row>
    <row r="454" spans="1:14" hidden="1"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hidden="1"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hidden="1" x14ac:dyDescent="0.3">
      <c r="A456">
        <v>12389</v>
      </c>
      <c r="B456" t="s">
        <v>37</v>
      </c>
      <c r="C456" t="s">
        <v>39</v>
      </c>
      <c r="D456" s="1">
        <v>30000</v>
      </c>
      <c r="E456">
        <v>0</v>
      </c>
      <c r="F456" t="s">
        <v>27</v>
      </c>
      <c r="G456" t="s">
        <v>25</v>
      </c>
      <c r="H456" t="s">
        <v>18</v>
      </c>
      <c r="I456">
        <v>1</v>
      </c>
      <c r="J456" t="s">
        <v>22</v>
      </c>
      <c r="K456" t="s">
        <v>17</v>
      </c>
      <c r="L456">
        <v>34</v>
      </c>
      <c r="M456" t="str">
        <f t="shared" si="7"/>
        <v>Adolescence</v>
      </c>
      <c r="N456" t="s">
        <v>18</v>
      </c>
    </row>
    <row r="457" spans="1:14" hidden="1"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hidden="1"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hidden="1"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hidden="1" x14ac:dyDescent="0.3">
      <c r="A460">
        <v>21560</v>
      </c>
      <c r="B460" t="s">
        <v>36</v>
      </c>
      <c r="C460" t="s">
        <v>39</v>
      </c>
      <c r="D460" s="1">
        <v>120000</v>
      </c>
      <c r="E460">
        <v>0</v>
      </c>
      <c r="F460" t="s">
        <v>29</v>
      </c>
      <c r="G460" t="s">
        <v>21</v>
      </c>
      <c r="H460" t="s">
        <v>15</v>
      </c>
      <c r="I460">
        <v>4</v>
      </c>
      <c r="J460" t="s">
        <v>30</v>
      </c>
      <c r="K460" t="s">
        <v>24</v>
      </c>
      <c r="L460">
        <v>32</v>
      </c>
      <c r="M460" t="str">
        <f t="shared" si="7"/>
        <v>Adolescence</v>
      </c>
      <c r="N460" t="s">
        <v>15</v>
      </c>
    </row>
    <row r="461" spans="1:14" hidden="1" x14ac:dyDescent="0.3">
      <c r="A461">
        <v>21554</v>
      </c>
      <c r="B461" t="s">
        <v>37</v>
      </c>
      <c r="C461" t="s">
        <v>38</v>
      </c>
      <c r="D461" s="1">
        <v>80000</v>
      </c>
      <c r="E461">
        <v>0</v>
      </c>
      <c r="F461" t="s">
        <v>13</v>
      </c>
      <c r="G461" t="s">
        <v>21</v>
      </c>
      <c r="H461" t="s">
        <v>18</v>
      </c>
      <c r="I461">
        <v>3</v>
      </c>
      <c r="J461" t="s">
        <v>30</v>
      </c>
      <c r="K461" t="s">
        <v>24</v>
      </c>
      <c r="L461">
        <v>33</v>
      </c>
      <c r="M461" t="str">
        <f t="shared" si="7"/>
        <v>Adolescence</v>
      </c>
      <c r="N461" t="s">
        <v>18</v>
      </c>
    </row>
    <row r="462" spans="1:14" hidden="1" x14ac:dyDescent="0.3">
      <c r="A462">
        <v>13662</v>
      </c>
      <c r="B462" t="s">
        <v>37</v>
      </c>
      <c r="C462" t="s">
        <v>39</v>
      </c>
      <c r="D462" s="1">
        <v>20000</v>
      </c>
      <c r="E462">
        <v>0</v>
      </c>
      <c r="F462" t="s">
        <v>29</v>
      </c>
      <c r="G462" t="s">
        <v>25</v>
      </c>
      <c r="H462" t="s">
        <v>15</v>
      </c>
      <c r="I462">
        <v>2</v>
      </c>
      <c r="J462" t="s">
        <v>26</v>
      </c>
      <c r="K462" t="s">
        <v>17</v>
      </c>
      <c r="L462">
        <v>31</v>
      </c>
      <c r="M462" t="str">
        <f t="shared" si="7"/>
        <v>Adolescence</v>
      </c>
      <c r="N462" t="s">
        <v>15</v>
      </c>
    </row>
    <row r="463" spans="1:14" hidden="1"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Young</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Young</v>
      </c>
      <c r="N465" t="s">
        <v>18</v>
      </c>
    </row>
    <row r="466" spans="1:14" hidden="1"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hidden="1"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hidden="1"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hidden="1"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Young</v>
      </c>
      <c r="N470" t="s">
        <v>18</v>
      </c>
    </row>
    <row r="471" spans="1:14" hidden="1"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hidden="1" x14ac:dyDescent="0.3">
      <c r="A472">
        <v>15612</v>
      </c>
      <c r="B472" t="s">
        <v>37</v>
      </c>
      <c r="C472" t="s">
        <v>39</v>
      </c>
      <c r="D472" s="1">
        <v>30000</v>
      </c>
      <c r="E472">
        <v>0</v>
      </c>
      <c r="F472" t="s">
        <v>27</v>
      </c>
      <c r="G472" t="s">
        <v>25</v>
      </c>
      <c r="H472" t="s">
        <v>18</v>
      </c>
      <c r="I472">
        <v>1</v>
      </c>
      <c r="J472" t="s">
        <v>26</v>
      </c>
      <c r="K472" t="s">
        <v>17</v>
      </c>
      <c r="L472">
        <v>28</v>
      </c>
      <c r="M472" t="str">
        <f t="shared" si="7"/>
        <v>Adolescence</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Young</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Young</v>
      </c>
      <c r="N474" t="s">
        <v>15</v>
      </c>
    </row>
    <row r="475" spans="1:14" hidden="1"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Young</v>
      </c>
      <c r="N476" t="s">
        <v>15</v>
      </c>
    </row>
    <row r="477" spans="1:14" hidden="1" x14ac:dyDescent="0.3">
      <c r="A477">
        <v>19748</v>
      </c>
      <c r="B477" t="s">
        <v>36</v>
      </c>
      <c r="C477" t="s">
        <v>39</v>
      </c>
      <c r="D477" s="1">
        <v>20000</v>
      </c>
      <c r="E477">
        <v>4</v>
      </c>
      <c r="F477" t="s">
        <v>27</v>
      </c>
      <c r="G477" t="s">
        <v>14</v>
      </c>
      <c r="H477" t="s">
        <v>18</v>
      </c>
      <c r="I477">
        <v>2</v>
      </c>
      <c r="J477" t="s">
        <v>26</v>
      </c>
      <c r="K477" t="s">
        <v>24</v>
      </c>
      <c r="L477">
        <v>60</v>
      </c>
      <c r="M477" t="str">
        <f t="shared" si="7"/>
        <v>Middle Age</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Young</v>
      </c>
      <c r="N478" t="s">
        <v>15</v>
      </c>
    </row>
    <row r="479" spans="1:14" hidden="1"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Young</v>
      </c>
      <c r="N480" t="s">
        <v>15</v>
      </c>
    </row>
    <row r="481" spans="1:14" hidden="1" x14ac:dyDescent="0.3">
      <c r="A481">
        <v>26984</v>
      </c>
      <c r="B481" t="s">
        <v>36</v>
      </c>
      <c r="C481" t="s">
        <v>39</v>
      </c>
      <c r="D481" s="1">
        <v>40000</v>
      </c>
      <c r="E481">
        <v>1</v>
      </c>
      <c r="F481" t="s">
        <v>13</v>
      </c>
      <c r="G481" t="s">
        <v>14</v>
      </c>
      <c r="H481" t="s">
        <v>15</v>
      </c>
      <c r="I481">
        <v>1</v>
      </c>
      <c r="J481" t="s">
        <v>16</v>
      </c>
      <c r="K481" t="s">
        <v>17</v>
      </c>
      <c r="L481">
        <v>32</v>
      </c>
      <c r="M481" t="str">
        <f t="shared" si="7"/>
        <v>Adolescence</v>
      </c>
      <c r="N481" t="s">
        <v>15</v>
      </c>
    </row>
    <row r="482" spans="1:14" hidden="1"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hidden="1" x14ac:dyDescent="0.3">
      <c r="A483">
        <v>28564</v>
      </c>
      <c r="B483" t="s">
        <v>37</v>
      </c>
      <c r="C483" t="s">
        <v>38</v>
      </c>
      <c r="D483" s="1">
        <v>40000</v>
      </c>
      <c r="E483">
        <v>2</v>
      </c>
      <c r="F483" t="s">
        <v>19</v>
      </c>
      <c r="G483" t="s">
        <v>20</v>
      </c>
      <c r="H483" t="s">
        <v>15</v>
      </c>
      <c r="I483">
        <v>0</v>
      </c>
      <c r="J483" t="s">
        <v>26</v>
      </c>
      <c r="K483" t="s">
        <v>17</v>
      </c>
      <c r="L483">
        <v>33</v>
      </c>
      <c r="M483" t="str">
        <f t="shared" si="7"/>
        <v>Adolescence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Young</v>
      </c>
      <c r="N484" t="s">
        <v>15</v>
      </c>
    </row>
    <row r="485" spans="1:14" hidden="1"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hidden="1" x14ac:dyDescent="0.3">
      <c r="A486">
        <v>25681</v>
      </c>
      <c r="B486" t="s">
        <v>37</v>
      </c>
      <c r="C486" t="s">
        <v>38</v>
      </c>
      <c r="D486" s="1">
        <v>30000</v>
      </c>
      <c r="E486">
        <v>0</v>
      </c>
      <c r="F486" t="s">
        <v>19</v>
      </c>
      <c r="G486" t="s">
        <v>20</v>
      </c>
      <c r="H486" t="s">
        <v>18</v>
      </c>
      <c r="I486">
        <v>1</v>
      </c>
      <c r="J486" t="s">
        <v>22</v>
      </c>
      <c r="K486" t="s">
        <v>17</v>
      </c>
      <c r="L486">
        <v>31</v>
      </c>
      <c r="M486" t="str">
        <f t="shared" si="7"/>
        <v>Adolescence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Young</v>
      </c>
      <c r="N487" t="s">
        <v>18</v>
      </c>
    </row>
    <row r="488" spans="1:14" hidden="1" x14ac:dyDescent="0.3">
      <c r="A488">
        <v>26415</v>
      </c>
      <c r="B488" t="s">
        <v>36</v>
      </c>
      <c r="C488" t="s">
        <v>38</v>
      </c>
      <c r="D488" s="1">
        <v>90000</v>
      </c>
      <c r="E488">
        <v>4</v>
      </c>
      <c r="F488" t="s">
        <v>29</v>
      </c>
      <c r="G488" t="s">
        <v>14</v>
      </c>
      <c r="H488" t="s">
        <v>15</v>
      </c>
      <c r="I488">
        <v>4</v>
      </c>
      <c r="J488" t="s">
        <v>30</v>
      </c>
      <c r="K488" t="s">
        <v>17</v>
      </c>
      <c r="L488">
        <v>58</v>
      </c>
      <c r="M488" t="str">
        <f t="shared" si="7"/>
        <v>Middle Age</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Young</v>
      </c>
      <c r="N489" t="s">
        <v>18</v>
      </c>
    </row>
    <row r="490" spans="1:14" hidden="1" x14ac:dyDescent="0.3">
      <c r="A490">
        <v>15629</v>
      </c>
      <c r="B490" t="s">
        <v>37</v>
      </c>
      <c r="C490" t="s">
        <v>38</v>
      </c>
      <c r="D490" s="1">
        <v>10000</v>
      </c>
      <c r="E490">
        <v>0</v>
      </c>
      <c r="F490" t="s">
        <v>29</v>
      </c>
      <c r="G490" t="s">
        <v>25</v>
      </c>
      <c r="H490" t="s">
        <v>15</v>
      </c>
      <c r="I490">
        <v>2</v>
      </c>
      <c r="J490" t="s">
        <v>26</v>
      </c>
      <c r="K490" t="s">
        <v>17</v>
      </c>
      <c r="L490">
        <v>34</v>
      </c>
      <c r="M490" t="str">
        <f t="shared" si="7"/>
        <v>Adolescence</v>
      </c>
      <c r="N490" t="s">
        <v>18</v>
      </c>
    </row>
    <row r="491" spans="1:14" hidden="1" x14ac:dyDescent="0.3">
      <c r="A491">
        <v>27835</v>
      </c>
      <c r="B491" t="s">
        <v>36</v>
      </c>
      <c r="C491" t="s">
        <v>39</v>
      </c>
      <c r="D491" s="1">
        <v>20000</v>
      </c>
      <c r="E491">
        <v>0</v>
      </c>
      <c r="F491" t="s">
        <v>29</v>
      </c>
      <c r="G491" t="s">
        <v>25</v>
      </c>
      <c r="H491" t="s">
        <v>15</v>
      </c>
      <c r="I491">
        <v>2</v>
      </c>
      <c r="J491" t="s">
        <v>16</v>
      </c>
      <c r="K491" t="s">
        <v>17</v>
      </c>
      <c r="L491">
        <v>32</v>
      </c>
      <c r="M491" t="str">
        <f t="shared" si="7"/>
        <v>Adolescence</v>
      </c>
      <c r="N491" t="s">
        <v>18</v>
      </c>
    </row>
    <row r="492" spans="1:14" hidden="1"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hidden="1"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hidden="1" x14ac:dyDescent="0.3">
      <c r="A494">
        <v>26238</v>
      </c>
      <c r="B494" t="s">
        <v>37</v>
      </c>
      <c r="C494" t="s">
        <v>38</v>
      </c>
      <c r="D494" s="1">
        <v>40000</v>
      </c>
      <c r="E494">
        <v>3</v>
      </c>
      <c r="F494" t="s">
        <v>19</v>
      </c>
      <c r="G494" t="s">
        <v>20</v>
      </c>
      <c r="H494" t="s">
        <v>15</v>
      </c>
      <c r="I494">
        <v>1</v>
      </c>
      <c r="J494" t="s">
        <v>26</v>
      </c>
      <c r="K494" t="s">
        <v>32</v>
      </c>
      <c r="L494">
        <v>31</v>
      </c>
      <c r="M494" t="str">
        <f t="shared" si="7"/>
        <v>Adolescence</v>
      </c>
      <c r="N494" t="s">
        <v>15</v>
      </c>
    </row>
    <row r="495" spans="1:14" hidden="1" x14ac:dyDescent="0.3">
      <c r="A495">
        <v>23707</v>
      </c>
      <c r="B495" t="s">
        <v>37</v>
      </c>
      <c r="C495" t="s">
        <v>39</v>
      </c>
      <c r="D495" s="1">
        <v>70000</v>
      </c>
      <c r="E495">
        <v>5</v>
      </c>
      <c r="F495" t="s">
        <v>13</v>
      </c>
      <c r="G495" t="s">
        <v>28</v>
      </c>
      <c r="H495" t="s">
        <v>15</v>
      </c>
      <c r="I495">
        <v>3</v>
      </c>
      <c r="J495" t="s">
        <v>30</v>
      </c>
      <c r="K495" t="s">
        <v>32</v>
      </c>
      <c r="L495">
        <v>60</v>
      </c>
      <c r="M495" t="str">
        <f t="shared" si="7"/>
        <v>Middle Age</v>
      </c>
      <c r="N495" t="s">
        <v>15</v>
      </c>
    </row>
    <row r="496" spans="1:14" hidden="1"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hidden="1" x14ac:dyDescent="0.3">
      <c r="A497">
        <v>24981</v>
      </c>
      <c r="B497" t="s">
        <v>36</v>
      </c>
      <c r="C497" t="s">
        <v>39</v>
      </c>
      <c r="D497" s="1">
        <v>60000</v>
      </c>
      <c r="E497">
        <v>2</v>
      </c>
      <c r="F497" t="s">
        <v>19</v>
      </c>
      <c r="G497" t="s">
        <v>21</v>
      </c>
      <c r="H497" t="s">
        <v>15</v>
      </c>
      <c r="I497">
        <v>2</v>
      </c>
      <c r="J497" t="s">
        <v>30</v>
      </c>
      <c r="K497" t="s">
        <v>32</v>
      </c>
      <c r="L497">
        <v>56</v>
      </c>
      <c r="M497" t="str">
        <f t="shared" si="7"/>
        <v>Middle Age</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Young</v>
      </c>
      <c r="N498" t="s">
        <v>15</v>
      </c>
    </row>
    <row r="499" spans="1:14" hidden="1" x14ac:dyDescent="0.3">
      <c r="A499">
        <v>15302</v>
      </c>
      <c r="B499" t="s">
        <v>37</v>
      </c>
      <c r="C499" t="s">
        <v>38</v>
      </c>
      <c r="D499" s="1">
        <v>70000</v>
      </c>
      <c r="E499">
        <v>1</v>
      </c>
      <c r="F499" t="s">
        <v>31</v>
      </c>
      <c r="G499" t="s">
        <v>21</v>
      </c>
      <c r="H499" t="s">
        <v>15</v>
      </c>
      <c r="I499">
        <v>0</v>
      </c>
      <c r="J499" t="s">
        <v>22</v>
      </c>
      <c r="K499" t="s">
        <v>32</v>
      </c>
      <c r="L499">
        <v>34</v>
      </c>
      <c r="M499" t="str">
        <f t="shared" si="7"/>
        <v>Adolescence</v>
      </c>
      <c r="N499" t="s">
        <v>15</v>
      </c>
    </row>
    <row r="500" spans="1:14" hidden="1"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hidden="1" x14ac:dyDescent="0.3">
      <c r="A501">
        <v>26575</v>
      </c>
      <c r="B501" t="s">
        <v>37</v>
      </c>
      <c r="C501" t="s">
        <v>38</v>
      </c>
      <c r="D501" s="1">
        <v>40000</v>
      </c>
      <c r="E501">
        <v>0</v>
      </c>
      <c r="F501" t="s">
        <v>27</v>
      </c>
      <c r="G501" t="s">
        <v>14</v>
      </c>
      <c r="H501" t="s">
        <v>18</v>
      </c>
      <c r="I501">
        <v>2</v>
      </c>
      <c r="J501" t="s">
        <v>26</v>
      </c>
      <c r="K501" t="s">
        <v>32</v>
      </c>
      <c r="L501">
        <v>31</v>
      </c>
      <c r="M501" t="str">
        <f t="shared" si="7"/>
        <v>Adolescence</v>
      </c>
      <c r="N501" t="s">
        <v>15</v>
      </c>
    </row>
    <row r="502" spans="1:14" hidden="1"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hidden="1" x14ac:dyDescent="0.3">
      <c r="A503">
        <v>19235</v>
      </c>
      <c r="B503" t="s">
        <v>36</v>
      </c>
      <c r="C503" t="s">
        <v>38</v>
      </c>
      <c r="D503" s="1">
        <v>50000</v>
      </c>
      <c r="E503">
        <v>0</v>
      </c>
      <c r="F503" t="s">
        <v>31</v>
      </c>
      <c r="G503" t="s">
        <v>14</v>
      </c>
      <c r="H503" t="s">
        <v>15</v>
      </c>
      <c r="I503">
        <v>0</v>
      </c>
      <c r="J503" t="s">
        <v>16</v>
      </c>
      <c r="K503" t="s">
        <v>32</v>
      </c>
      <c r="L503">
        <v>34</v>
      </c>
      <c r="M503" t="str">
        <f t="shared" si="7"/>
        <v>Adolescence</v>
      </c>
      <c r="N503" t="s">
        <v>18</v>
      </c>
    </row>
    <row r="504" spans="1:14" hidden="1" x14ac:dyDescent="0.3">
      <c r="A504">
        <v>15275</v>
      </c>
      <c r="B504" t="s">
        <v>36</v>
      </c>
      <c r="C504" t="s">
        <v>39</v>
      </c>
      <c r="D504" s="1">
        <v>40000</v>
      </c>
      <c r="E504">
        <v>0</v>
      </c>
      <c r="F504" t="s">
        <v>19</v>
      </c>
      <c r="G504" t="s">
        <v>14</v>
      </c>
      <c r="H504" t="s">
        <v>15</v>
      </c>
      <c r="I504">
        <v>1</v>
      </c>
      <c r="J504" t="s">
        <v>23</v>
      </c>
      <c r="K504" t="s">
        <v>32</v>
      </c>
      <c r="L504">
        <v>29</v>
      </c>
      <c r="M504" t="str">
        <f t="shared" si="7"/>
        <v>Adolescence</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Young</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Young</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Young</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Young</v>
      </c>
      <c r="N508" t="s">
        <v>15</v>
      </c>
    </row>
    <row r="509" spans="1:14" hidden="1"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hidden="1" x14ac:dyDescent="0.3">
      <c r="A510">
        <v>16337</v>
      </c>
      <c r="B510" t="s">
        <v>36</v>
      </c>
      <c r="C510" t="s">
        <v>39</v>
      </c>
      <c r="D510" s="1">
        <v>60000</v>
      </c>
      <c r="E510">
        <v>0</v>
      </c>
      <c r="F510" t="s">
        <v>19</v>
      </c>
      <c r="G510" t="s">
        <v>14</v>
      </c>
      <c r="H510" t="s">
        <v>18</v>
      </c>
      <c r="I510">
        <v>2</v>
      </c>
      <c r="J510" t="s">
        <v>26</v>
      </c>
      <c r="K510" t="s">
        <v>32</v>
      </c>
      <c r="L510">
        <v>29</v>
      </c>
      <c r="M510" t="str">
        <f t="shared" si="7"/>
        <v>Adolescence</v>
      </c>
      <c r="N510" t="s">
        <v>18</v>
      </c>
    </row>
    <row r="511" spans="1:14" hidden="1"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Young</v>
      </c>
      <c r="N512" t="s">
        <v>15</v>
      </c>
    </row>
    <row r="513" spans="1:14" hidden="1"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hidden="1"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hidden="1" x14ac:dyDescent="0.3">
      <c r="A515">
        <v>13353</v>
      </c>
      <c r="B515" t="s">
        <v>37</v>
      </c>
      <c r="C515" t="s">
        <v>38</v>
      </c>
      <c r="D515" s="1">
        <v>60000</v>
      </c>
      <c r="E515">
        <v>4</v>
      </c>
      <c r="F515" t="s">
        <v>31</v>
      </c>
      <c r="G515" t="s">
        <v>28</v>
      </c>
      <c r="H515" t="s">
        <v>15</v>
      </c>
      <c r="I515">
        <v>2</v>
      </c>
      <c r="J515" t="s">
        <v>30</v>
      </c>
      <c r="K515" t="s">
        <v>32</v>
      </c>
      <c r="L515">
        <v>61</v>
      </c>
      <c r="M515" t="str">
        <f t="shared" ref="M515:M578" si="8">IF(L515&gt;=65, "Old", IF(L515&gt;=45, "Middle Age", IF(L515&gt;=35, "Young", IF(L515&gt;=25, "Adolescence", "Invalid"))))</f>
        <v>Middle Age</v>
      </c>
      <c r="N515" t="s">
        <v>15</v>
      </c>
    </row>
    <row r="516" spans="1:14" hidden="1"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hidden="1"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hidden="1"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hidden="1"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hidden="1" x14ac:dyDescent="0.3">
      <c r="A520">
        <v>23586</v>
      </c>
      <c r="B520" t="s">
        <v>36</v>
      </c>
      <c r="C520" t="s">
        <v>38</v>
      </c>
      <c r="D520" s="1">
        <v>80000</v>
      </c>
      <c r="E520">
        <v>0</v>
      </c>
      <c r="F520" t="s">
        <v>13</v>
      </c>
      <c r="G520" t="s">
        <v>28</v>
      </c>
      <c r="H520" t="s">
        <v>15</v>
      </c>
      <c r="I520">
        <v>1</v>
      </c>
      <c r="J520" t="s">
        <v>26</v>
      </c>
      <c r="K520" t="s">
        <v>32</v>
      </c>
      <c r="L520">
        <v>34</v>
      </c>
      <c r="M520" t="str">
        <f t="shared" si="8"/>
        <v>Adolescence</v>
      </c>
      <c r="N520" t="s">
        <v>15</v>
      </c>
    </row>
    <row r="521" spans="1:14" hidden="1" x14ac:dyDescent="0.3">
      <c r="A521">
        <v>15740</v>
      </c>
      <c r="B521" t="s">
        <v>36</v>
      </c>
      <c r="C521" t="s">
        <v>39</v>
      </c>
      <c r="D521" s="1">
        <v>80000</v>
      </c>
      <c r="E521">
        <v>5</v>
      </c>
      <c r="F521" t="s">
        <v>13</v>
      </c>
      <c r="G521" t="s">
        <v>28</v>
      </c>
      <c r="H521" t="s">
        <v>15</v>
      </c>
      <c r="I521">
        <v>2</v>
      </c>
      <c r="J521" t="s">
        <v>26</v>
      </c>
      <c r="K521" t="s">
        <v>32</v>
      </c>
      <c r="L521">
        <v>64</v>
      </c>
      <c r="M521" t="str">
        <f t="shared" si="8"/>
        <v>Middle Age</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Young</v>
      </c>
      <c r="N522" t="s">
        <v>18</v>
      </c>
    </row>
    <row r="523" spans="1:14" hidden="1" x14ac:dyDescent="0.3">
      <c r="A523">
        <v>18976</v>
      </c>
      <c r="B523" t="s">
        <v>37</v>
      </c>
      <c r="C523" t="s">
        <v>39</v>
      </c>
      <c r="D523" s="1">
        <v>40000</v>
      </c>
      <c r="E523">
        <v>4</v>
      </c>
      <c r="F523" t="s">
        <v>27</v>
      </c>
      <c r="G523" t="s">
        <v>21</v>
      </c>
      <c r="H523" t="s">
        <v>15</v>
      </c>
      <c r="I523">
        <v>2</v>
      </c>
      <c r="J523" t="s">
        <v>30</v>
      </c>
      <c r="K523" t="s">
        <v>32</v>
      </c>
      <c r="L523">
        <v>62</v>
      </c>
      <c r="M523" t="str">
        <f t="shared" si="8"/>
        <v>Middle Age</v>
      </c>
      <c r="N523" t="s">
        <v>15</v>
      </c>
    </row>
    <row r="524" spans="1:14" hidden="1"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hidden="1"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hidden="1"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hidden="1" x14ac:dyDescent="0.3">
      <c r="A527">
        <v>16791</v>
      </c>
      <c r="B527" t="s">
        <v>37</v>
      </c>
      <c r="C527" t="s">
        <v>39</v>
      </c>
      <c r="D527" s="1">
        <v>60000</v>
      </c>
      <c r="E527">
        <v>5</v>
      </c>
      <c r="F527" t="s">
        <v>13</v>
      </c>
      <c r="G527" t="s">
        <v>28</v>
      </c>
      <c r="H527" t="s">
        <v>15</v>
      </c>
      <c r="I527">
        <v>3</v>
      </c>
      <c r="J527" t="s">
        <v>30</v>
      </c>
      <c r="K527" t="s">
        <v>32</v>
      </c>
      <c r="L527">
        <v>59</v>
      </c>
      <c r="M527" t="str">
        <f t="shared" si="8"/>
        <v>Middle Age</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Young</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Young</v>
      </c>
      <c r="N529" t="s">
        <v>18</v>
      </c>
    </row>
    <row r="530" spans="1:14" hidden="1" x14ac:dyDescent="0.3">
      <c r="A530">
        <v>11935</v>
      </c>
      <c r="B530" t="s">
        <v>37</v>
      </c>
      <c r="C530" t="s">
        <v>38</v>
      </c>
      <c r="D530" s="1">
        <v>30000</v>
      </c>
      <c r="E530">
        <v>0</v>
      </c>
      <c r="F530" t="s">
        <v>19</v>
      </c>
      <c r="G530" t="s">
        <v>14</v>
      </c>
      <c r="H530" t="s">
        <v>15</v>
      </c>
      <c r="I530">
        <v>1</v>
      </c>
      <c r="J530" t="s">
        <v>23</v>
      </c>
      <c r="K530" t="s">
        <v>32</v>
      </c>
      <c r="L530">
        <v>28</v>
      </c>
      <c r="M530" t="str">
        <f t="shared" si="8"/>
        <v>Adolescence</v>
      </c>
      <c r="N530" t="s">
        <v>18</v>
      </c>
    </row>
    <row r="531" spans="1:14" hidden="1" x14ac:dyDescent="0.3">
      <c r="A531">
        <v>13233</v>
      </c>
      <c r="B531" t="s">
        <v>36</v>
      </c>
      <c r="C531" t="s">
        <v>39</v>
      </c>
      <c r="D531" s="1">
        <v>60000</v>
      </c>
      <c r="E531">
        <v>2</v>
      </c>
      <c r="F531" t="s">
        <v>19</v>
      </c>
      <c r="G531" t="s">
        <v>21</v>
      </c>
      <c r="H531" t="s">
        <v>15</v>
      </c>
      <c r="I531">
        <v>1</v>
      </c>
      <c r="J531" t="s">
        <v>30</v>
      </c>
      <c r="K531" t="s">
        <v>32</v>
      </c>
      <c r="L531">
        <v>57</v>
      </c>
      <c r="M531" t="str">
        <f t="shared" si="8"/>
        <v>Middle Age</v>
      </c>
      <c r="N531" t="s">
        <v>15</v>
      </c>
    </row>
    <row r="532" spans="1:14" hidden="1" x14ac:dyDescent="0.3">
      <c r="A532">
        <v>25909</v>
      </c>
      <c r="B532" t="s">
        <v>36</v>
      </c>
      <c r="C532" t="s">
        <v>39</v>
      </c>
      <c r="D532" s="1">
        <v>60000</v>
      </c>
      <c r="E532">
        <v>0</v>
      </c>
      <c r="F532" t="s">
        <v>19</v>
      </c>
      <c r="G532" t="s">
        <v>14</v>
      </c>
      <c r="H532" t="s">
        <v>15</v>
      </c>
      <c r="I532">
        <v>1</v>
      </c>
      <c r="J532" t="s">
        <v>23</v>
      </c>
      <c r="K532" t="s">
        <v>32</v>
      </c>
      <c r="L532">
        <v>27</v>
      </c>
      <c r="M532" t="str">
        <f t="shared" si="8"/>
        <v>Adolescence</v>
      </c>
      <c r="N532" t="s">
        <v>15</v>
      </c>
    </row>
    <row r="533" spans="1:14" hidden="1" x14ac:dyDescent="0.3">
      <c r="A533">
        <v>14092</v>
      </c>
      <c r="B533" t="s">
        <v>37</v>
      </c>
      <c r="C533" t="s">
        <v>39</v>
      </c>
      <c r="D533" s="1">
        <v>30000</v>
      </c>
      <c r="E533">
        <v>0</v>
      </c>
      <c r="F533" t="s">
        <v>29</v>
      </c>
      <c r="G533" t="s">
        <v>20</v>
      </c>
      <c r="H533" t="s">
        <v>15</v>
      </c>
      <c r="I533">
        <v>2</v>
      </c>
      <c r="J533" t="s">
        <v>23</v>
      </c>
      <c r="K533" t="s">
        <v>32</v>
      </c>
      <c r="L533">
        <v>28</v>
      </c>
      <c r="M533" t="str">
        <f t="shared" si="8"/>
        <v>Adolescence</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Young</v>
      </c>
      <c r="N534" t="s">
        <v>15</v>
      </c>
    </row>
    <row r="535" spans="1:14" hidden="1" x14ac:dyDescent="0.3">
      <c r="A535">
        <v>24941</v>
      </c>
      <c r="B535" t="s">
        <v>36</v>
      </c>
      <c r="C535" t="s">
        <v>39</v>
      </c>
      <c r="D535" s="1">
        <v>60000</v>
      </c>
      <c r="E535">
        <v>3</v>
      </c>
      <c r="F535" t="s">
        <v>13</v>
      </c>
      <c r="G535" t="s">
        <v>28</v>
      </c>
      <c r="H535" t="s">
        <v>15</v>
      </c>
      <c r="I535">
        <v>2</v>
      </c>
      <c r="J535" t="s">
        <v>30</v>
      </c>
      <c r="K535" t="s">
        <v>32</v>
      </c>
      <c r="L535">
        <v>66</v>
      </c>
      <c r="M535" t="str">
        <f t="shared" si="8"/>
        <v>Old</v>
      </c>
      <c r="N535" t="s">
        <v>18</v>
      </c>
    </row>
    <row r="536" spans="1:14" hidden="1" x14ac:dyDescent="0.3">
      <c r="A536">
        <v>24637</v>
      </c>
      <c r="B536" t="s">
        <v>36</v>
      </c>
      <c r="C536" t="s">
        <v>39</v>
      </c>
      <c r="D536" s="1">
        <v>40000</v>
      </c>
      <c r="E536">
        <v>4</v>
      </c>
      <c r="F536" t="s">
        <v>27</v>
      </c>
      <c r="G536" t="s">
        <v>21</v>
      </c>
      <c r="H536" t="s">
        <v>15</v>
      </c>
      <c r="I536">
        <v>2</v>
      </c>
      <c r="J536" t="s">
        <v>30</v>
      </c>
      <c r="K536" t="s">
        <v>32</v>
      </c>
      <c r="L536">
        <v>64</v>
      </c>
      <c r="M536" t="str">
        <f t="shared" si="8"/>
        <v>Middle Age</v>
      </c>
      <c r="N536" t="s">
        <v>18</v>
      </c>
    </row>
    <row r="537" spans="1:14" x14ac:dyDescent="0.3">
      <c r="A537">
        <v>23893</v>
      </c>
      <c r="B537" t="s">
        <v>36</v>
      </c>
      <c r="C537" t="s">
        <v>39</v>
      </c>
      <c r="D537" s="1">
        <v>50000</v>
      </c>
      <c r="E537">
        <v>3</v>
      </c>
      <c r="F537" t="s">
        <v>13</v>
      </c>
      <c r="G537" t="s">
        <v>14</v>
      </c>
      <c r="H537" t="s">
        <v>15</v>
      </c>
      <c r="I537">
        <v>3</v>
      </c>
      <c r="J537" t="s">
        <v>30</v>
      </c>
      <c r="K537" t="s">
        <v>32</v>
      </c>
      <c r="L537">
        <v>41</v>
      </c>
      <c r="M537" t="str">
        <f t="shared" si="8"/>
        <v>Young</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Young</v>
      </c>
      <c r="N538" t="s">
        <v>15</v>
      </c>
    </row>
    <row r="539" spans="1:14" hidden="1"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Young</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Young</v>
      </c>
      <c r="N541" t="s">
        <v>15</v>
      </c>
    </row>
    <row r="542" spans="1:14" hidden="1"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hidden="1" x14ac:dyDescent="0.3">
      <c r="A543">
        <v>25375</v>
      </c>
      <c r="B543" t="s">
        <v>36</v>
      </c>
      <c r="C543" t="s">
        <v>39</v>
      </c>
      <c r="D543" s="1">
        <v>50000</v>
      </c>
      <c r="E543">
        <v>1</v>
      </c>
      <c r="F543" t="s">
        <v>31</v>
      </c>
      <c r="G543" t="s">
        <v>14</v>
      </c>
      <c r="H543" t="s">
        <v>15</v>
      </c>
      <c r="I543">
        <v>0</v>
      </c>
      <c r="J543" t="s">
        <v>26</v>
      </c>
      <c r="K543" t="s">
        <v>32</v>
      </c>
      <c r="L543">
        <v>34</v>
      </c>
      <c r="M543" t="str">
        <f t="shared" si="8"/>
        <v>Adolescence</v>
      </c>
      <c r="N543" t="s">
        <v>18</v>
      </c>
    </row>
    <row r="544" spans="1:14" hidden="1" x14ac:dyDescent="0.3">
      <c r="A544">
        <v>11143</v>
      </c>
      <c r="B544" t="s">
        <v>36</v>
      </c>
      <c r="C544" t="s">
        <v>39</v>
      </c>
      <c r="D544" s="1">
        <v>40000</v>
      </c>
      <c r="E544">
        <v>0</v>
      </c>
      <c r="F544" t="s">
        <v>27</v>
      </c>
      <c r="G544" t="s">
        <v>14</v>
      </c>
      <c r="H544" t="s">
        <v>15</v>
      </c>
      <c r="I544">
        <v>2</v>
      </c>
      <c r="J544" t="s">
        <v>23</v>
      </c>
      <c r="K544" t="s">
        <v>32</v>
      </c>
      <c r="L544">
        <v>29</v>
      </c>
      <c r="M544" t="str">
        <f t="shared" si="8"/>
        <v>Adolescence</v>
      </c>
      <c r="N544" t="s">
        <v>18</v>
      </c>
    </row>
    <row r="545" spans="1:14" hidden="1"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Young</v>
      </c>
      <c r="N546" t="s">
        <v>18</v>
      </c>
    </row>
    <row r="547" spans="1:14" hidden="1" x14ac:dyDescent="0.3">
      <c r="A547">
        <v>19758</v>
      </c>
      <c r="B547" t="s">
        <v>37</v>
      </c>
      <c r="C547" t="s">
        <v>39</v>
      </c>
      <c r="D547" s="1">
        <v>60000</v>
      </c>
      <c r="E547">
        <v>0</v>
      </c>
      <c r="F547" t="s">
        <v>19</v>
      </c>
      <c r="G547" t="s">
        <v>14</v>
      </c>
      <c r="H547" t="s">
        <v>18</v>
      </c>
      <c r="I547">
        <v>2</v>
      </c>
      <c r="J547" t="s">
        <v>26</v>
      </c>
      <c r="K547" t="s">
        <v>32</v>
      </c>
      <c r="L547">
        <v>29</v>
      </c>
      <c r="M547" t="str">
        <f t="shared" si="8"/>
        <v>Adolescence</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Young</v>
      </c>
      <c r="N548" t="s">
        <v>15</v>
      </c>
    </row>
    <row r="549" spans="1:14" hidden="1" x14ac:dyDescent="0.3">
      <c r="A549">
        <v>19884</v>
      </c>
      <c r="B549" t="s">
        <v>36</v>
      </c>
      <c r="C549" t="s">
        <v>39</v>
      </c>
      <c r="D549" s="1">
        <v>60000</v>
      </c>
      <c r="E549">
        <v>2</v>
      </c>
      <c r="F549" t="s">
        <v>27</v>
      </c>
      <c r="G549" t="s">
        <v>21</v>
      </c>
      <c r="H549" t="s">
        <v>15</v>
      </c>
      <c r="I549">
        <v>2</v>
      </c>
      <c r="J549" t="s">
        <v>22</v>
      </c>
      <c r="K549" t="s">
        <v>32</v>
      </c>
      <c r="L549">
        <v>55</v>
      </c>
      <c r="M549" t="str">
        <f t="shared" si="8"/>
        <v>Middle Age</v>
      </c>
      <c r="N549" t="s">
        <v>15</v>
      </c>
    </row>
    <row r="550" spans="1:14" hidden="1"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hidden="1"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Young</v>
      </c>
      <c r="N552" t="s">
        <v>15</v>
      </c>
    </row>
    <row r="553" spans="1:14" hidden="1" x14ac:dyDescent="0.3">
      <c r="A553">
        <v>27393</v>
      </c>
      <c r="B553" t="s">
        <v>36</v>
      </c>
      <c r="C553" t="s">
        <v>38</v>
      </c>
      <c r="D553" s="1">
        <v>50000</v>
      </c>
      <c r="E553">
        <v>4</v>
      </c>
      <c r="F553" t="s">
        <v>13</v>
      </c>
      <c r="G553" t="s">
        <v>28</v>
      </c>
      <c r="H553" t="s">
        <v>15</v>
      </c>
      <c r="I553">
        <v>2</v>
      </c>
      <c r="J553" t="s">
        <v>30</v>
      </c>
      <c r="K553" t="s">
        <v>32</v>
      </c>
      <c r="L553">
        <v>63</v>
      </c>
      <c r="M553" t="str">
        <f t="shared" si="8"/>
        <v>Middle Age</v>
      </c>
      <c r="N553" t="s">
        <v>18</v>
      </c>
    </row>
    <row r="554" spans="1:14" hidden="1" x14ac:dyDescent="0.3">
      <c r="A554">
        <v>14417</v>
      </c>
      <c r="B554" t="s">
        <v>37</v>
      </c>
      <c r="C554" t="s">
        <v>39</v>
      </c>
      <c r="D554" s="1">
        <v>60000</v>
      </c>
      <c r="E554">
        <v>3</v>
      </c>
      <c r="F554" t="s">
        <v>27</v>
      </c>
      <c r="G554" t="s">
        <v>21</v>
      </c>
      <c r="H554" t="s">
        <v>15</v>
      </c>
      <c r="I554">
        <v>2</v>
      </c>
      <c r="J554" t="s">
        <v>30</v>
      </c>
      <c r="K554" t="s">
        <v>32</v>
      </c>
      <c r="L554">
        <v>54</v>
      </c>
      <c r="M554" t="str">
        <f t="shared" si="8"/>
        <v>Middle Age</v>
      </c>
      <c r="N554" t="s">
        <v>15</v>
      </c>
    </row>
    <row r="555" spans="1:14" hidden="1"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Young</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Young</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Young</v>
      </c>
      <c r="N558" t="s">
        <v>18</v>
      </c>
    </row>
    <row r="559" spans="1:14" hidden="1" x14ac:dyDescent="0.3">
      <c r="A559">
        <v>24725</v>
      </c>
      <c r="B559" t="s">
        <v>36</v>
      </c>
      <c r="C559" t="s">
        <v>38</v>
      </c>
      <c r="D559" s="1">
        <v>40000</v>
      </c>
      <c r="E559">
        <v>3</v>
      </c>
      <c r="F559" t="s">
        <v>19</v>
      </c>
      <c r="G559" t="s">
        <v>20</v>
      </c>
      <c r="H559" t="s">
        <v>15</v>
      </c>
      <c r="I559">
        <v>0</v>
      </c>
      <c r="J559" t="s">
        <v>26</v>
      </c>
      <c r="K559" t="s">
        <v>32</v>
      </c>
      <c r="L559">
        <v>31</v>
      </c>
      <c r="M559" t="str">
        <f t="shared" si="8"/>
        <v>Adolescence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Young</v>
      </c>
      <c r="N560" t="s">
        <v>18</v>
      </c>
    </row>
    <row r="561" spans="1:14" hidden="1" x14ac:dyDescent="0.3">
      <c r="A561">
        <v>15895</v>
      </c>
      <c r="B561" t="s">
        <v>37</v>
      </c>
      <c r="C561" t="s">
        <v>38</v>
      </c>
      <c r="D561" s="1">
        <v>60000</v>
      </c>
      <c r="E561">
        <v>2</v>
      </c>
      <c r="F561" t="s">
        <v>13</v>
      </c>
      <c r="G561" t="s">
        <v>28</v>
      </c>
      <c r="H561" t="s">
        <v>15</v>
      </c>
      <c r="I561">
        <v>0</v>
      </c>
      <c r="J561" t="s">
        <v>30</v>
      </c>
      <c r="K561" t="s">
        <v>32</v>
      </c>
      <c r="L561">
        <v>58</v>
      </c>
      <c r="M561" t="str">
        <f t="shared" si="8"/>
        <v>Middle Age</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Young</v>
      </c>
      <c r="N562" t="s">
        <v>18</v>
      </c>
    </row>
    <row r="563" spans="1:14" hidden="1"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hidden="1" x14ac:dyDescent="0.3">
      <c r="A564">
        <v>18560</v>
      </c>
      <c r="B564" t="s">
        <v>36</v>
      </c>
      <c r="C564" t="s">
        <v>38</v>
      </c>
      <c r="D564" s="1">
        <v>70000</v>
      </c>
      <c r="E564">
        <v>2</v>
      </c>
      <c r="F564" t="s">
        <v>31</v>
      </c>
      <c r="G564" t="s">
        <v>21</v>
      </c>
      <c r="H564" t="s">
        <v>15</v>
      </c>
      <c r="I564">
        <v>0</v>
      </c>
      <c r="J564" t="s">
        <v>22</v>
      </c>
      <c r="K564" t="s">
        <v>32</v>
      </c>
      <c r="L564">
        <v>34</v>
      </c>
      <c r="M564" t="str">
        <f t="shared" si="8"/>
        <v>Adolescence</v>
      </c>
      <c r="N564" t="s">
        <v>15</v>
      </c>
    </row>
    <row r="565" spans="1:14" hidden="1" x14ac:dyDescent="0.3">
      <c r="A565">
        <v>25006</v>
      </c>
      <c r="B565" t="s">
        <v>37</v>
      </c>
      <c r="C565" t="s">
        <v>38</v>
      </c>
      <c r="D565" s="1">
        <v>30000</v>
      </c>
      <c r="E565">
        <v>0</v>
      </c>
      <c r="F565" t="s">
        <v>19</v>
      </c>
      <c r="G565" t="s">
        <v>14</v>
      </c>
      <c r="H565" t="s">
        <v>15</v>
      </c>
      <c r="I565">
        <v>1</v>
      </c>
      <c r="J565" t="s">
        <v>23</v>
      </c>
      <c r="K565" t="s">
        <v>32</v>
      </c>
      <c r="L565">
        <v>28</v>
      </c>
      <c r="M565" t="str">
        <f t="shared" si="8"/>
        <v>Adolescence</v>
      </c>
      <c r="N565" t="s">
        <v>18</v>
      </c>
    </row>
    <row r="566" spans="1:14" hidden="1" x14ac:dyDescent="0.3">
      <c r="A566">
        <v>17369</v>
      </c>
      <c r="B566" t="s">
        <v>37</v>
      </c>
      <c r="C566" t="s">
        <v>39</v>
      </c>
      <c r="D566" s="1">
        <v>30000</v>
      </c>
      <c r="E566">
        <v>0</v>
      </c>
      <c r="F566" t="s">
        <v>19</v>
      </c>
      <c r="G566" t="s">
        <v>14</v>
      </c>
      <c r="H566" t="s">
        <v>15</v>
      </c>
      <c r="I566">
        <v>1</v>
      </c>
      <c r="J566" t="s">
        <v>23</v>
      </c>
      <c r="K566" t="s">
        <v>32</v>
      </c>
      <c r="L566">
        <v>27</v>
      </c>
      <c r="M566" t="str">
        <f t="shared" si="8"/>
        <v>Adolescence</v>
      </c>
      <c r="N566" t="s">
        <v>18</v>
      </c>
    </row>
    <row r="567" spans="1:14" hidden="1"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hidden="1"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hidden="1"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Young</v>
      </c>
      <c r="N570" t="s">
        <v>15</v>
      </c>
    </row>
    <row r="571" spans="1:14" hidden="1" x14ac:dyDescent="0.3">
      <c r="A571">
        <v>26452</v>
      </c>
      <c r="B571" t="s">
        <v>37</v>
      </c>
      <c r="C571" t="s">
        <v>39</v>
      </c>
      <c r="D571" s="1">
        <v>50000</v>
      </c>
      <c r="E571">
        <v>3</v>
      </c>
      <c r="F571" t="s">
        <v>31</v>
      </c>
      <c r="G571" t="s">
        <v>28</v>
      </c>
      <c r="H571" t="s">
        <v>15</v>
      </c>
      <c r="I571">
        <v>2</v>
      </c>
      <c r="J571" t="s">
        <v>30</v>
      </c>
      <c r="K571" t="s">
        <v>32</v>
      </c>
      <c r="L571">
        <v>69</v>
      </c>
      <c r="M571" t="str">
        <f t="shared" si="8"/>
        <v>Old</v>
      </c>
      <c r="N571" t="s">
        <v>18</v>
      </c>
    </row>
    <row r="572" spans="1:14" hidden="1"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hidden="1" x14ac:dyDescent="0.3">
      <c r="A573">
        <v>20528</v>
      </c>
      <c r="B573" t="s">
        <v>36</v>
      </c>
      <c r="C573" t="s">
        <v>39</v>
      </c>
      <c r="D573" s="1">
        <v>40000</v>
      </c>
      <c r="E573">
        <v>2</v>
      </c>
      <c r="F573" t="s">
        <v>29</v>
      </c>
      <c r="G573" t="s">
        <v>14</v>
      </c>
      <c r="H573" t="s">
        <v>15</v>
      </c>
      <c r="I573">
        <v>2</v>
      </c>
      <c r="J573" t="s">
        <v>22</v>
      </c>
      <c r="K573" t="s">
        <v>32</v>
      </c>
      <c r="L573">
        <v>55</v>
      </c>
      <c r="M573" t="str">
        <f t="shared" si="8"/>
        <v>Middle Age</v>
      </c>
      <c r="N573" t="s">
        <v>18</v>
      </c>
    </row>
    <row r="574" spans="1:14" hidden="1" x14ac:dyDescent="0.3">
      <c r="A574">
        <v>23549</v>
      </c>
      <c r="B574" t="s">
        <v>37</v>
      </c>
      <c r="C574" t="s">
        <v>39</v>
      </c>
      <c r="D574" s="1">
        <v>30000</v>
      </c>
      <c r="E574">
        <v>0</v>
      </c>
      <c r="F574" t="s">
        <v>27</v>
      </c>
      <c r="G574" t="s">
        <v>14</v>
      </c>
      <c r="H574" t="s">
        <v>15</v>
      </c>
      <c r="I574">
        <v>2</v>
      </c>
      <c r="J574" t="s">
        <v>23</v>
      </c>
      <c r="K574" t="s">
        <v>32</v>
      </c>
      <c r="L574">
        <v>30</v>
      </c>
      <c r="M574" t="str">
        <f t="shared" si="8"/>
        <v>Adolescence</v>
      </c>
      <c r="N574" t="s">
        <v>18</v>
      </c>
    </row>
    <row r="575" spans="1:14" hidden="1" x14ac:dyDescent="0.3">
      <c r="A575">
        <v>21751</v>
      </c>
      <c r="B575" t="s">
        <v>36</v>
      </c>
      <c r="C575" t="s">
        <v>39</v>
      </c>
      <c r="D575" s="1">
        <v>60000</v>
      </c>
      <c r="E575">
        <v>3</v>
      </c>
      <c r="F575" t="s">
        <v>31</v>
      </c>
      <c r="G575" t="s">
        <v>28</v>
      </c>
      <c r="H575" t="s">
        <v>15</v>
      </c>
      <c r="I575">
        <v>2</v>
      </c>
      <c r="J575" t="s">
        <v>26</v>
      </c>
      <c r="K575" t="s">
        <v>32</v>
      </c>
      <c r="L575">
        <v>63</v>
      </c>
      <c r="M575" t="str">
        <f t="shared" si="8"/>
        <v>Middle Age</v>
      </c>
      <c r="N575" t="s">
        <v>18</v>
      </c>
    </row>
    <row r="576" spans="1:14" hidden="1" x14ac:dyDescent="0.3">
      <c r="A576">
        <v>21266</v>
      </c>
      <c r="B576" t="s">
        <v>37</v>
      </c>
      <c r="C576" t="s">
        <v>38</v>
      </c>
      <c r="D576" s="1">
        <v>80000</v>
      </c>
      <c r="E576">
        <v>0</v>
      </c>
      <c r="F576" t="s">
        <v>13</v>
      </c>
      <c r="G576" t="s">
        <v>28</v>
      </c>
      <c r="H576" t="s">
        <v>15</v>
      </c>
      <c r="I576">
        <v>1</v>
      </c>
      <c r="J576" t="s">
        <v>26</v>
      </c>
      <c r="K576" t="s">
        <v>32</v>
      </c>
      <c r="L576">
        <v>34</v>
      </c>
      <c r="M576" t="str">
        <f t="shared" si="8"/>
        <v>Adolescence</v>
      </c>
      <c r="N576" t="s">
        <v>15</v>
      </c>
    </row>
    <row r="577" spans="1:14" hidden="1" x14ac:dyDescent="0.3">
      <c r="A577">
        <v>13388</v>
      </c>
      <c r="B577" t="s">
        <v>37</v>
      </c>
      <c r="C577" t="s">
        <v>39</v>
      </c>
      <c r="D577" s="1">
        <v>60000</v>
      </c>
      <c r="E577">
        <v>2</v>
      </c>
      <c r="F577" t="s">
        <v>19</v>
      </c>
      <c r="G577" t="s">
        <v>21</v>
      </c>
      <c r="H577" t="s">
        <v>15</v>
      </c>
      <c r="I577">
        <v>1</v>
      </c>
      <c r="J577" t="s">
        <v>30</v>
      </c>
      <c r="K577" t="s">
        <v>32</v>
      </c>
      <c r="L577">
        <v>56</v>
      </c>
      <c r="M577" t="str">
        <f t="shared" si="8"/>
        <v>Middle Age</v>
      </c>
      <c r="N577" t="s">
        <v>18</v>
      </c>
    </row>
    <row r="578" spans="1:14" hidden="1" x14ac:dyDescent="0.3">
      <c r="A578">
        <v>18752</v>
      </c>
      <c r="B578" t="s">
        <v>37</v>
      </c>
      <c r="C578" t="s">
        <v>38</v>
      </c>
      <c r="D578" s="1">
        <v>40000</v>
      </c>
      <c r="E578">
        <v>0</v>
      </c>
      <c r="F578" t="s">
        <v>27</v>
      </c>
      <c r="G578" t="s">
        <v>14</v>
      </c>
      <c r="H578" t="s">
        <v>15</v>
      </c>
      <c r="I578">
        <v>1</v>
      </c>
      <c r="J578" t="s">
        <v>23</v>
      </c>
      <c r="K578" t="s">
        <v>32</v>
      </c>
      <c r="L578">
        <v>31</v>
      </c>
      <c r="M578" t="str">
        <f t="shared" si="8"/>
        <v>Adolescence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IF(L579&gt;=65, "Old", IF(L579&gt;=45, "Middle Age", IF(L579&gt;=35, "Young", IF(L579&gt;=25, "Adolescence", "Invalid"))))</f>
        <v>Young</v>
      </c>
      <c r="N579" t="s">
        <v>18</v>
      </c>
    </row>
    <row r="580" spans="1:14" hidden="1" x14ac:dyDescent="0.3">
      <c r="A580">
        <v>15313</v>
      </c>
      <c r="B580" t="s">
        <v>36</v>
      </c>
      <c r="C580" t="s">
        <v>39</v>
      </c>
      <c r="D580" s="1">
        <v>60000</v>
      </c>
      <c r="E580">
        <v>4</v>
      </c>
      <c r="F580" t="s">
        <v>13</v>
      </c>
      <c r="G580" t="s">
        <v>28</v>
      </c>
      <c r="H580" t="s">
        <v>15</v>
      </c>
      <c r="I580">
        <v>2</v>
      </c>
      <c r="J580" t="s">
        <v>22</v>
      </c>
      <c r="K580" t="s">
        <v>32</v>
      </c>
      <c r="L580">
        <v>59</v>
      </c>
      <c r="M580" t="str">
        <f t="shared" si="9"/>
        <v>Middle Age</v>
      </c>
      <c r="N580" t="s">
        <v>18</v>
      </c>
    </row>
    <row r="581" spans="1:14" hidden="1" x14ac:dyDescent="0.3">
      <c r="A581">
        <v>25329</v>
      </c>
      <c r="B581" t="s">
        <v>37</v>
      </c>
      <c r="C581" t="s">
        <v>38</v>
      </c>
      <c r="D581" s="1">
        <v>40000</v>
      </c>
      <c r="E581">
        <v>3</v>
      </c>
      <c r="F581" t="s">
        <v>19</v>
      </c>
      <c r="G581" t="s">
        <v>20</v>
      </c>
      <c r="H581" t="s">
        <v>18</v>
      </c>
      <c r="I581">
        <v>2</v>
      </c>
      <c r="J581" t="s">
        <v>16</v>
      </c>
      <c r="K581" t="s">
        <v>32</v>
      </c>
      <c r="L581">
        <v>32</v>
      </c>
      <c r="M581" t="str">
        <f t="shared" si="9"/>
        <v>Adolescence</v>
      </c>
      <c r="N581" t="s">
        <v>18</v>
      </c>
    </row>
    <row r="582" spans="1:14" hidden="1" x14ac:dyDescent="0.3">
      <c r="A582">
        <v>20380</v>
      </c>
      <c r="B582" t="s">
        <v>36</v>
      </c>
      <c r="C582" t="s">
        <v>38</v>
      </c>
      <c r="D582" s="1">
        <v>60000</v>
      </c>
      <c r="E582">
        <v>3</v>
      </c>
      <c r="F582" t="s">
        <v>31</v>
      </c>
      <c r="G582" t="s">
        <v>28</v>
      </c>
      <c r="H582" t="s">
        <v>15</v>
      </c>
      <c r="I582">
        <v>2</v>
      </c>
      <c r="J582" t="s">
        <v>30</v>
      </c>
      <c r="K582" t="s">
        <v>32</v>
      </c>
      <c r="L582">
        <v>69</v>
      </c>
      <c r="M582" t="str">
        <f t="shared" si="9"/>
        <v>Old</v>
      </c>
      <c r="N582" t="s">
        <v>18</v>
      </c>
    </row>
    <row r="583" spans="1:14" hidden="1" x14ac:dyDescent="0.3">
      <c r="A583">
        <v>23089</v>
      </c>
      <c r="B583" t="s">
        <v>36</v>
      </c>
      <c r="C583" t="s">
        <v>39</v>
      </c>
      <c r="D583" s="1">
        <v>40000</v>
      </c>
      <c r="E583">
        <v>0</v>
      </c>
      <c r="F583" t="s">
        <v>19</v>
      </c>
      <c r="G583" t="s">
        <v>14</v>
      </c>
      <c r="H583" t="s">
        <v>15</v>
      </c>
      <c r="I583">
        <v>1</v>
      </c>
      <c r="J583" t="s">
        <v>23</v>
      </c>
      <c r="K583" t="s">
        <v>32</v>
      </c>
      <c r="L583">
        <v>28</v>
      </c>
      <c r="M583" t="str">
        <f t="shared" si="9"/>
        <v>Adolescence</v>
      </c>
      <c r="N583" t="s">
        <v>18</v>
      </c>
    </row>
    <row r="584" spans="1:14" hidden="1"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hidden="1" x14ac:dyDescent="0.3">
      <c r="A585">
        <v>24943</v>
      </c>
      <c r="B585" t="s">
        <v>36</v>
      </c>
      <c r="C585" t="s">
        <v>39</v>
      </c>
      <c r="D585" s="1">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Young</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Young</v>
      </c>
      <c r="N587" t="s">
        <v>15</v>
      </c>
    </row>
    <row r="588" spans="1:14" hidden="1"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Young</v>
      </c>
      <c r="N589" t="s">
        <v>18</v>
      </c>
    </row>
    <row r="590" spans="1:14" hidden="1" x14ac:dyDescent="0.3">
      <c r="A590">
        <v>16871</v>
      </c>
      <c r="B590" t="s">
        <v>36</v>
      </c>
      <c r="C590" t="s">
        <v>38</v>
      </c>
      <c r="D590" s="1">
        <v>90000</v>
      </c>
      <c r="E590">
        <v>2</v>
      </c>
      <c r="F590" t="s">
        <v>27</v>
      </c>
      <c r="G590" t="s">
        <v>21</v>
      </c>
      <c r="H590" t="s">
        <v>15</v>
      </c>
      <c r="I590">
        <v>1</v>
      </c>
      <c r="J590" t="s">
        <v>30</v>
      </c>
      <c r="K590" t="s">
        <v>32</v>
      </c>
      <c r="L590">
        <v>51</v>
      </c>
      <c r="M590" t="str">
        <f t="shared" si="9"/>
        <v>Middle Age</v>
      </c>
      <c r="N590" t="s">
        <v>15</v>
      </c>
    </row>
    <row r="591" spans="1:14" hidden="1" x14ac:dyDescent="0.3">
      <c r="A591">
        <v>12100</v>
      </c>
      <c r="B591" t="s">
        <v>37</v>
      </c>
      <c r="C591" t="s">
        <v>39</v>
      </c>
      <c r="D591" s="1">
        <v>60000</v>
      </c>
      <c r="E591">
        <v>2</v>
      </c>
      <c r="F591" t="s">
        <v>13</v>
      </c>
      <c r="G591" t="s">
        <v>28</v>
      </c>
      <c r="H591" t="s">
        <v>15</v>
      </c>
      <c r="I591">
        <v>0</v>
      </c>
      <c r="J591" t="s">
        <v>30</v>
      </c>
      <c r="K591" t="s">
        <v>32</v>
      </c>
      <c r="L591">
        <v>57</v>
      </c>
      <c r="M591" t="str">
        <f t="shared" si="9"/>
        <v>Middle Age</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Young</v>
      </c>
      <c r="N592" t="s">
        <v>15</v>
      </c>
    </row>
    <row r="593" spans="1:14" hidden="1" x14ac:dyDescent="0.3">
      <c r="A593">
        <v>18545</v>
      </c>
      <c r="B593" t="s">
        <v>36</v>
      </c>
      <c r="C593" t="s">
        <v>39</v>
      </c>
      <c r="D593" s="1">
        <v>40000</v>
      </c>
      <c r="E593">
        <v>4</v>
      </c>
      <c r="F593" t="s">
        <v>27</v>
      </c>
      <c r="G593" t="s">
        <v>21</v>
      </c>
      <c r="H593" t="s">
        <v>18</v>
      </c>
      <c r="I593">
        <v>2</v>
      </c>
      <c r="J593" t="s">
        <v>30</v>
      </c>
      <c r="K593" t="s">
        <v>32</v>
      </c>
      <c r="L593">
        <v>61</v>
      </c>
      <c r="M593" t="str">
        <f t="shared" si="9"/>
        <v>Middle Age</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Young</v>
      </c>
      <c r="N594" t="s">
        <v>18</v>
      </c>
    </row>
    <row r="595" spans="1:14" hidden="1"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hidden="1"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hidden="1"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hidden="1"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hidden="1" x14ac:dyDescent="0.3">
      <c r="A599">
        <v>28997</v>
      </c>
      <c r="B599" t="s">
        <v>37</v>
      </c>
      <c r="C599" t="s">
        <v>39</v>
      </c>
      <c r="D599" s="1">
        <v>40000</v>
      </c>
      <c r="E599">
        <v>2</v>
      </c>
      <c r="F599" t="s">
        <v>27</v>
      </c>
      <c r="G599" t="s">
        <v>21</v>
      </c>
      <c r="H599" t="s">
        <v>18</v>
      </c>
      <c r="I599">
        <v>1</v>
      </c>
      <c r="J599" t="s">
        <v>22</v>
      </c>
      <c r="K599" t="s">
        <v>32</v>
      </c>
      <c r="L599">
        <v>58</v>
      </c>
      <c r="M599" t="str">
        <f t="shared" si="9"/>
        <v>Middle Age</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Young</v>
      </c>
      <c r="N600" t="s">
        <v>18</v>
      </c>
    </row>
    <row r="601" spans="1:14" hidden="1" x14ac:dyDescent="0.3">
      <c r="A601">
        <v>19002</v>
      </c>
      <c r="B601" t="s">
        <v>36</v>
      </c>
      <c r="C601" t="s">
        <v>38</v>
      </c>
      <c r="D601" s="1">
        <v>60000</v>
      </c>
      <c r="E601">
        <v>2</v>
      </c>
      <c r="F601" t="s">
        <v>19</v>
      </c>
      <c r="G601" t="s">
        <v>21</v>
      </c>
      <c r="H601" t="s">
        <v>15</v>
      </c>
      <c r="I601">
        <v>1</v>
      </c>
      <c r="J601" t="s">
        <v>22</v>
      </c>
      <c r="K601" t="s">
        <v>32</v>
      </c>
      <c r="L601">
        <v>57</v>
      </c>
      <c r="M601" t="str">
        <f t="shared" si="9"/>
        <v>Middle Age</v>
      </c>
      <c r="N601" t="s">
        <v>15</v>
      </c>
    </row>
    <row r="602" spans="1:14" hidden="1"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Young</v>
      </c>
      <c r="N603" t="s">
        <v>18</v>
      </c>
    </row>
    <row r="604" spans="1:14" hidden="1"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Young</v>
      </c>
      <c r="N605" t="s">
        <v>15</v>
      </c>
    </row>
    <row r="606" spans="1:14" hidden="1" x14ac:dyDescent="0.3">
      <c r="A606">
        <v>25261</v>
      </c>
      <c r="B606" t="s">
        <v>36</v>
      </c>
      <c r="C606" t="s">
        <v>39</v>
      </c>
      <c r="D606" s="1">
        <v>40000</v>
      </c>
      <c r="E606">
        <v>0</v>
      </c>
      <c r="F606" t="s">
        <v>27</v>
      </c>
      <c r="G606" t="s">
        <v>14</v>
      </c>
      <c r="H606" t="s">
        <v>15</v>
      </c>
      <c r="I606">
        <v>2</v>
      </c>
      <c r="J606" t="s">
        <v>23</v>
      </c>
      <c r="K606" t="s">
        <v>32</v>
      </c>
      <c r="L606">
        <v>27</v>
      </c>
      <c r="M606" t="str">
        <f t="shared" si="9"/>
        <v>Adolescence</v>
      </c>
      <c r="N606" t="s">
        <v>18</v>
      </c>
    </row>
    <row r="607" spans="1:14" hidden="1"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Young</v>
      </c>
      <c r="N608" t="s">
        <v>18</v>
      </c>
    </row>
    <row r="609" spans="1:14" hidden="1" x14ac:dyDescent="0.3">
      <c r="A609">
        <v>16145</v>
      </c>
      <c r="B609" t="s">
        <v>37</v>
      </c>
      <c r="C609" t="s">
        <v>38</v>
      </c>
      <c r="D609" s="1">
        <v>70000</v>
      </c>
      <c r="E609">
        <v>5</v>
      </c>
      <c r="F609" t="s">
        <v>31</v>
      </c>
      <c r="G609" t="s">
        <v>21</v>
      </c>
      <c r="H609" t="s">
        <v>15</v>
      </c>
      <c r="I609">
        <v>3</v>
      </c>
      <c r="J609" t="s">
        <v>30</v>
      </c>
      <c r="K609" t="s">
        <v>32</v>
      </c>
      <c r="L609">
        <v>46</v>
      </c>
      <c r="M609" t="str">
        <f t="shared" si="9"/>
        <v>Middle Age</v>
      </c>
      <c r="N609" t="s">
        <v>15</v>
      </c>
    </row>
    <row r="610" spans="1:14" hidden="1"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Young</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Young</v>
      </c>
      <c r="N612" t="s">
        <v>18</v>
      </c>
    </row>
    <row r="613" spans="1:14" hidden="1" x14ac:dyDescent="0.3">
      <c r="A613">
        <v>22994</v>
      </c>
      <c r="B613" t="s">
        <v>36</v>
      </c>
      <c r="C613" t="s">
        <v>38</v>
      </c>
      <c r="D613" s="1">
        <v>80000</v>
      </c>
      <c r="E613">
        <v>0</v>
      </c>
      <c r="F613" t="s">
        <v>13</v>
      </c>
      <c r="G613" t="s">
        <v>28</v>
      </c>
      <c r="H613" t="s">
        <v>15</v>
      </c>
      <c r="I613">
        <v>1</v>
      </c>
      <c r="J613" t="s">
        <v>26</v>
      </c>
      <c r="K613" t="s">
        <v>32</v>
      </c>
      <c r="L613">
        <v>34</v>
      </c>
      <c r="M613" t="str">
        <f t="shared" si="9"/>
        <v>Adolescence</v>
      </c>
      <c r="N613" t="s">
        <v>15</v>
      </c>
    </row>
    <row r="614" spans="1:14" hidden="1" x14ac:dyDescent="0.3">
      <c r="A614">
        <v>22983</v>
      </c>
      <c r="B614" t="s">
        <v>37</v>
      </c>
      <c r="C614" t="s">
        <v>38</v>
      </c>
      <c r="D614" s="1">
        <v>30000</v>
      </c>
      <c r="E614">
        <v>0</v>
      </c>
      <c r="F614" t="s">
        <v>29</v>
      </c>
      <c r="G614" t="s">
        <v>20</v>
      </c>
      <c r="H614" t="s">
        <v>15</v>
      </c>
      <c r="I614">
        <v>2</v>
      </c>
      <c r="J614" t="s">
        <v>23</v>
      </c>
      <c r="K614" t="s">
        <v>32</v>
      </c>
      <c r="L614">
        <v>27</v>
      </c>
      <c r="M614" t="str">
        <f t="shared" si="9"/>
        <v>Adolescence</v>
      </c>
      <c r="N614" t="s">
        <v>18</v>
      </c>
    </row>
    <row r="615" spans="1:14" hidden="1"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hidden="1"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hidden="1"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hidden="1"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Young</v>
      </c>
      <c r="N619" t="s">
        <v>15</v>
      </c>
    </row>
    <row r="620" spans="1:14" hidden="1"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hidden="1" x14ac:dyDescent="0.3">
      <c r="A621">
        <v>15814</v>
      </c>
      <c r="B621" t="s">
        <v>37</v>
      </c>
      <c r="C621" t="s">
        <v>38</v>
      </c>
      <c r="D621" s="1">
        <v>40000</v>
      </c>
      <c r="E621">
        <v>0</v>
      </c>
      <c r="F621" t="s">
        <v>27</v>
      </c>
      <c r="G621" t="s">
        <v>14</v>
      </c>
      <c r="H621" t="s">
        <v>15</v>
      </c>
      <c r="I621">
        <v>1</v>
      </c>
      <c r="J621" t="s">
        <v>23</v>
      </c>
      <c r="K621" t="s">
        <v>32</v>
      </c>
      <c r="L621">
        <v>30</v>
      </c>
      <c r="M621" t="str">
        <f t="shared" si="9"/>
        <v>Adolescence</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Young</v>
      </c>
      <c r="N622" t="s">
        <v>15</v>
      </c>
    </row>
    <row r="623" spans="1:14" hidden="1" x14ac:dyDescent="0.3">
      <c r="A623">
        <v>11200</v>
      </c>
      <c r="B623" t="s">
        <v>36</v>
      </c>
      <c r="C623" t="s">
        <v>39</v>
      </c>
      <c r="D623" s="1">
        <v>70000</v>
      </c>
      <c r="E623">
        <v>4</v>
      </c>
      <c r="F623" t="s">
        <v>13</v>
      </c>
      <c r="G623" t="s">
        <v>28</v>
      </c>
      <c r="H623" t="s">
        <v>15</v>
      </c>
      <c r="I623">
        <v>1</v>
      </c>
      <c r="J623" t="s">
        <v>26</v>
      </c>
      <c r="K623" t="s">
        <v>32</v>
      </c>
      <c r="L623">
        <v>58</v>
      </c>
      <c r="M623" t="str">
        <f t="shared" si="9"/>
        <v>Middle Age</v>
      </c>
      <c r="N623" t="s">
        <v>18</v>
      </c>
    </row>
    <row r="624" spans="1:14" hidden="1"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hidden="1" x14ac:dyDescent="0.3">
      <c r="A625">
        <v>21801</v>
      </c>
      <c r="B625" t="s">
        <v>36</v>
      </c>
      <c r="C625" t="s">
        <v>38</v>
      </c>
      <c r="D625" s="1">
        <v>70000</v>
      </c>
      <c r="E625">
        <v>4</v>
      </c>
      <c r="F625" t="s">
        <v>19</v>
      </c>
      <c r="G625" t="s">
        <v>21</v>
      </c>
      <c r="H625" t="s">
        <v>15</v>
      </c>
      <c r="I625">
        <v>1</v>
      </c>
      <c r="J625" t="s">
        <v>26</v>
      </c>
      <c r="K625" t="s">
        <v>32</v>
      </c>
      <c r="L625">
        <v>55</v>
      </c>
      <c r="M625" t="str">
        <f t="shared" si="9"/>
        <v>Middle Age</v>
      </c>
      <c r="N625" t="s">
        <v>18</v>
      </c>
    </row>
    <row r="626" spans="1:14" hidden="1" x14ac:dyDescent="0.3">
      <c r="A626">
        <v>25943</v>
      </c>
      <c r="B626" t="s">
        <v>37</v>
      </c>
      <c r="C626" t="s">
        <v>38</v>
      </c>
      <c r="D626" s="1">
        <v>70000</v>
      </c>
      <c r="E626">
        <v>0</v>
      </c>
      <c r="F626" t="s">
        <v>19</v>
      </c>
      <c r="G626" t="s">
        <v>14</v>
      </c>
      <c r="H626" t="s">
        <v>18</v>
      </c>
      <c r="I626">
        <v>2</v>
      </c>
      <c r="J626" t="s">
        <v>16</v>
      </c>
      <c r="K626" t="s">
        <v>32</v>
      </c>
      <c r="L626">
        <v>27</v>
      </c>
      <c r="M626" t="str">
        <f t="shared" si="9"/>
        <v>Adolescence</v>
      </c>
      <c r="N626" t="s">
        <v>15</v>
      </c>
    </row>
    <row r="627" spans="1:14" hidden="1"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hidden="1" x14ac:dyDescent="0.3">
      <c r="A628">
        <v>20414</v>
      </c>
      <c r="B628" t="s">
        <v>36</v>
      </c>
      <c r="C628" t="s">
        <v>38</v>
      </c>
      <c r="D628" s="1">
        <v>60000</v>
      </c>
      <c r="E628">
        <v>0</v>
      </c>
      <c r="F628" t="s">
        <v>19</v>
      </c>
      <c r="G628" t="s">
        <v>14</v>
      </c>
      <c r="H628" t="s">
        <v>15</v>
      </c>
      <c r="I628">
        <v>2</v>
      </c>
      <c r="J628" t="s">
        <v>23</v>
      </c>
      <c r="K628" t="s">
        <v>32</v>
      </c>
      <c r="L628">
        <v>29</v>
      </c>
      <c r="M628" t="str">
        <f t="shared" si="9"/>
        <v>Adolescence</v>
      </c>
      <c r="N628" t="s">
        <v>18</v>
      </c>
    </row>
    <row r="629" spans="1:14" hidden="1"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hidden="1"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Young</v>
      </c>
      <c r="N631" t="s">
        <v>18</v>
      </c>
    </row>
    <row r="632" spans="1:14" hidden="1" x14ac:dyDescent="0.3">
      <c r="A632">
        <v>27753</v>
      </c>
      <c r="B632" t="s">
        <v>36</v>
      </c>
      <c r="C632" t="s">
        <v>39</v>
      </c>
      <c r="D632" s="1">
        <v>40000</v>
      </c>
      <c r="E632">
        <v>0</v>
      </c>
      <c r="F632" t="s">
        <v>27</v>
      </c>
      <c r="G632" t="s">
        <v>14</v>
      </c>
      <c r="H632" t="s">
        <v>18</v>
      </c>
      <c r="I632">
        <v>2</v>
      </c>
      <c r="J632" t="s">
        <v>26</v>
      </c>
      <c r="K632" t="s">
        <v>32</v>
      </c>
      <c r="L632">
        <v>30</v>
      </c>
      <c r="M632" t="str">
        <f t="shared" si="9"/>
        <v>Adolescence</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Young</v>
      </c>
      <c r="N633" t="s">
        <v>18</v>
      </c>
    </row>
    <row r="634" spans="1:14" hidden="1"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hidden="1"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hidden="1"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hidden="1"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Young</v>
      </c>
      <c r="N638" t="s">
        <v>15</v>
      </c>
    </row>
    <row r="639" spans="1:14" hidden="1" x14ac:dyDescent="0.3">
      <c r="A639">
        <v>15272</v>
      </c>
      <c r="B639" t="s">
        <v>37</v>
      </c>
      <c r="C639" t="s">
        <v>39</v>
      </c>
      <c r="D639" s="1">
        <v>40000</v>
      </c>
      <c r="E639">
        <v>0</v>
      </c>
      <c r="F639" t="s">
        <v>27</v>
      </c>
      <c r="G639" t="s">
        <v>14</v>
      </c>
      <c r="H639" t="s">
        <v>18</v>
      </c>
      <c r="I639">
        <v>2</v>
      </c>
      <c r="J639" t="s">
        <v>26</v>
      </c>
      <c r="K639" t="s">
        <v>32</v>
      </c>
      <c r="L639">
        <v>30</v>
      </c>
      <c r="M639" t="str">
        <f t="shared" si="9"/>
        <v>Adolescence</v>
      </c>
      <c r="N639" t="s">
        <v>18</v>
      </c>
    </row>
    <row r="640" spans="1:14" hidden="1"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hidden="1"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hidden="1" x14ac:dyDescent="0.3">
      <c r="A642">
        <v>25886</v>
      </c>
      <c r="B642" t="s">
        <v>36</v>
      </c>
      <c r="C642" t="s">
        <v>38</v>
      </c>
      <c r="D642" s="1">
        <v>60000</v>
      </c>
      <c r="E642">
        <v>2</v>
      </c>
      <c r="F642" t="s">
        <v>19</v>
      </c>
      <c r="G642" t="s">
        <v>21</v>
      </c>
      <c r="H642" t="s">
        <v>15</v>
      </c>
      <c r="I642">
        <v>2</v>
      </c>
      <c r="J642" t="s">
        <v>22</v>
      </c>
      <c r="K642" t="s">
        <v>32</v>
      </c>
      <c r="L642">
        <v>56</v>
      </c>
      <c r="M642" t="str">
        <f t="shared" si="9"/>
        <v>Middle Age</v>
      </c>
      <c r="N642" t="s">
        <v>15</v>
      </c>
    </row>
    <row r="643" spans="1:14" hidden="1" x14ac:dyDescent="0.3">
      <c r="A643">
        <v>21441</v>
      </c>
      <c r="B643" t="s">
        <v>36</v>
      </c>
      <c r="C643" t="s">
        <v>39</v>
      </c>
      <c r="D643" s="1">
        <v>50000</v>
      </c>
      <c r="E643">
        <v>4</v>
      </c>
      <c r="F643" t="s">
        <v>13</v>
      </c>
      <c r="G643" t="s">
        <v>28</v>
      </c>
      <c r="H643" t="s">
        <v>15</v>
      </c>
      <c r="I643">
        <v>2</v>
      </c>
      <c r="J643" t="s">
        <v>30</v>
      </c>
      <c r="K643" t="s">
        <v>32</v>
      </c>
      <c r="L643">
        <v>64</v>
      </c>
      <c r="M643" t="str">
        <f t="shared" ref="M643:M706" si="10">IF(L643&gt;=65, "Old", IF(L643&gt;=45, "Middle Age", IF(L643&gt;=35, "Young", IF(L643&gt;=25, "Adolescence", "Invalid"))))</f>
        <v>Middle Age</v>
      </c>
      <c r="N643" t="s">
        <v>18</v>
      </c>
    </row>
    <row r="644" spans="1:14" hidden="1"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Young</v>
      </c>
      <c r="N645" t="s">
        <v>15</v>
      </c>
    </row>
    <row r="646" spans="1:14" x14ac:dyDescent="0.3">
      <c r="A646">
        <v>23368</v>
      </c>
      <c r="B646" t="s">
        <v>36</v>
      </c>
      <c r="C646" t="s">
        <v>38</v>
      </c>
      <c r="D646" s="1">
        <v>60000</v>
      </c>
      <c r="E646">
        <v>5</v>
      </c>
      <c r="F646" t="s">
        <v>13</v>
      </c>
      <c r="G646" t="s">
        <v>14</v>
      </c>
      <c r="H646" t="s">
        <v>15</v>
      </c>
      <c r="I646">
        <v>3</v>
      </c>
      <c r="J646" t="s">
        <v>30</v>
      </c>
      <c r="K646" t="s">
        <v>32</v>
      </c>
      <c r="L646">
        <v>41</v>
      </c>
      <c r="M646" t="str">
        <f t="shared" si="10"/>
        <v>Young</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Young</v>
      </c>
      <c r="N647" t="s">
        <v>18</v>
      </c>
    </row>
    <row r="648" spans="1:14" hidden="1"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hidden="1" x14ac:dyDescent="0.3">
      <c r="A649">
        <v>22010</v>
      </c>
      <c r="B649" t="s">
        <v>37</v>
      </c>
      <c r="C649" t="s">
        <v>39</v>
      </c>
      <c r="D649" s="1">
        <v>40000</v>
      </c>
      <c r="E649">
        <v>0</v>
      </c>
      <c r="F649" t="s">
        <v>27</v>
      </c>
      <c r="G649" t="s">
        <v>14</v>
      </c>
      <c r="H649" t="s">
        <v>15</v>
      </c>
      <c r="I649">
        <v>2</v>
      </c>
      <c r="J649" t="s">
        <v>23</v>
      </c>
      <c r="K649" t="s">
        <v>32</v>
      </c>
      <c r="L649">
        <v>31</v>
      </c>
      <c r="M649" t="str">
        <f t="shared" si="10"/>
        <v>Adolescence</v>
      </c>
      <c r="N649" t="s">
        <v>18</v>
      </c>
    </row>
    <row r="650" spans="1:14" hidden="1" x14ac:dyDescent="0.3">
      <c r="A650">
        <v>25872</v>
      </c>
      <c r="B650" t="s">
        <v>37</v>
      </c>
      <c r="C650" t="s">
        <v>38</v>
      </c>
      <c r="D650" s="1">
        <v>70000</v>
      </c>
      <c r="E650">
        <v>2</v>
      </c>
      <c r="F650" t="s">
        <v>13</v>
      </c>
      <c r="G650" t="s">
        <v>28</v>
      </c>
      <c r="H650" t="s">
        <v>18</v>
      </c>
      <c r="I650">
        <v>1</v>
      </c>
      <c r="J650" t="s">
        <v>22</v>
      </c>
      <c r="K650" t="s">
        <v>32</v>
      </c>
      <c r="L650">
        <v>58</v>
      </c>
      <c r="M650" t="str">
        <f t="shared" si="10"/>
        <v>Middle Age</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Young</v>
      </c>
      <c r="N651" t="s">
        <v>15</v>
      </c>
    </row>
    <row r="652" spans="1:14" hidden="1" x14ac:dyDescent="0.3">
      <c r="A652">
        <v>18435</v>
      </c>
      <c r="B652" t="s">
        <v>37</v>
      </c>
      <c r="C652" t="s">
        <v>38</v>
      </c>
      <c r="D652" s="1">
        <v>70000</v>
      </c>
      <c r="E652">
        <v>5</v>
      </c>
      <c r="F652" t="s">
        <v>31</v>
      </c>
      <c r="G652" t="s">
        <v>28</v>
      </c>
      <c r="H652" t="s">
        <v>15</v>
      </c>
      <c r="I652">
        <v>2</v>
      </c>
      <c r="J652" t="s">
        <v>30</v>
      </c>
      <c r="K652" t="s">
        <v>32</v>
      </c>
      <c r="L652">
        <v>67</v>
      </c>
      <c r="M652" t="str">
        <f t="shared" si="10"/>
        <v>Old</v>
      </c>
      <c r="N652" t="s">
        <v>15</v>
      </c>
    </row>
    <row r="653" spans="1:14" hidden="1" x14ac:dyDescent="0.3">
      <c r="A653">
        <v>14284</v>
      </c>
      <c r="B653" t="s">
        <v>37</v>
      </c>
      <c r="C653" t="s">
        <v>39</v>
      </c>
      <c r="D653" s="1">
        <v>60000</v>
      </c>
      <c r="E653">
        <v>0</v>
      </c>
      <c r="F653" t="s">
        <v>19</v>
      </c>
      <c r="G653" t="s">
        <v>21</v>
      </c>
      <c r="H653" t="s">
        <v>18</v>
      </c>
      <c r="I653">
        <v>2</v>
      </c>
      <c r="J653" t="s">
        <v>26</v>
      </c>
      <c r="K653" t="s">
        <v>32</v>
      </c>
      <c r="L653">
        <v>32</v>
      </c>
      <c r="M653" t="str">
        <f t="shared" si="10"/>
        <v>Adolescence</v>
      </c>
      <c r="N653" t="s">
        <v>15</v>
      </c>
    </row>
    <row r="654" spans="1:14" hidden="1"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hidden="1" x14ac:dyDescent="0.3">
      <c r="A655">
        <v>13066</v>
      </c>
      <c r="B655" t="s">
        <v>37</v>
      </c>
      <c r="C655" t="s">
        <v>39</v>
      </c>
      <c r="D655" s="1">
        <v>30000</v>
      </c>
      <c r="E655">
        <v>0</v>
      </c>
      <c r="F655" t="s">
        <v>27</v>
      </c>
      <c r="G655" t="s">
        <v>14</v>
      </c>
      <c r="H655" t="s">
        <v>18</v>
      </c>
      <c r="I655">
        <v>2</v>
      </c>
      <c r="J655" t="s">
        <v>26</v>
      </c>
      <c r="K655" t="s">
        <v>32</v>
      </c>
      <c r="L655">
        <v>31</v>
      </c>
      <c r="M655" t="str">
        <f t="shared" si="10"/>
        <v>Adolescence</v>
      </c>
      <c r="N655" t="s">
        <v>15</v>
      </c>
    </row>
    <row r="656" spans="1:14" hidden="1" x14ac:dyDescent="0.3">
      <c r="A656">
        <v>29106</v>
      </c>
      <c r="B656" t="s">
        <v>37</v>
      </c>
      <c r="C656" t="s">
        <v>39</v>
      </c>
      <c r="D656" s="1">
        <v>40000</v>
      </c>
      <c r="E656">
        <v>0</v>
      </c>
      <c r="F656" t="s">
        <v>27</v>
      </c>
      <c r="G656" t="s">
        <v>14</v>
      </c>
      <c r="H656" t="s">
        <v>18</v>
      </c>
      <c r="I656">
        <v>2</v>
      </c>
      <c r="J656" t="s">
        <v>26</v>
      </c>
      <c r="K656" t="s">
        <v>32</v>
      </c>
      <c r="L656">
        <v>31</v>
      </c>
      <c r="M656" t="str">
        <f t="shared" si="10"/>
        <v>Adolescence</v>
      </c>
      <c r="N656" t="s">
        <v>15</v>
      </c>
    </row>
    <row r="657" spans="1:14" hidden="1" x14ac:dyDescent="0.3">
      <c r="A657">
        <v>26236</v>
      </c>
      <c r="B657" t="s">
        <v>36</v>
      </c>
      <c r="C657" t="s">
        <v>38</v>
      </c>
      <c r="D657" s="1">
        <v>40000</v>
      </c>
      <c r="E657">
        <v>3</v>
      </c>
      <c r="F657" t="s">
        <v>19</v>
      </c>
      <c r="G657" t="s">
        <v>20</v>
      </c>
      <c r="H657" t="s">
        <v>15</v>
      </c>
      <c r="I657">
        <v>1</v>
      </c>
      <c r="J657" t="s">
        <v>16</v>
      </c>
      <c r="K657" t="s">
        <v>32</v>
      </c>
      <c r="L657">
        <v>31</v>
      </c>
      <c r="M657" t="str">
        <f t="shared" si="10"/>
        <v>Adolescence</v>
      </c>
      <c r="N657" t="s">
        <v>18</v>
      </c>
    </row>
    <row r="658" spans="1:14" hidden="1"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Young</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Young</v>
      </c>
      <c r="N660" t="s">
        <v>15</v>
      </c>
    </row>
    <row r="661" spans="1:14" hidden="1" x14ac:dyDescent="0.3">
      <c r="A661">
        <v>24643</v>
      </c>
      <c r="B661" t="s">
        <v>37</v>
      </c>
      <c r="C661" t="s">
        <v>38</v>
      </c>
      <c r="D661" s="1">
        <v>60000</v>
      </c>
      <c r="E661">
        <v>4</v>
      </c>
      <c r="F661" t="s">
        <v>13</v>
      </c>
      <c r="G661" t="s">
        <v>28</v>
      </c>
      <c r="H661" t="s">
        <v>15</v>
      </c>
      <c r="I661">
        <v>2</v>
      </c>
      <c r="J661" t="s">
        <v>30</v>
      </c>
      <c r="K661" t="s">
        <v>32</v>
      </c>
      <c r="L661">
        <v>63</v>
      </c>
      <c r="M661" t="str">
        <f t="shared" si="10"/>
        <v>Middle Age</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Young</v>
      </c>
      <c r="N662" t="s">
        <v>15</v>
      </c>
    </row>
    <row r="663" spans="1:14" hidden="1" x14ac:dyDescent="0.3">
      <c r="A663">
        <v>22976</v>
      </c>
      <c r="B663" t="s">
        <v>37</v>
      </c>
      <c r="C663" t="s">
        <v>39</v>
      </c>
      <c r="D663" s="1">
        <v>40000</v>
      </c>
      <c r="E663">
        <v>0</v>
      </c>
      <c r="F663" t="s">
        <v>27</v>
      </c>
      <c r="G663" t="s">
        <v>14</v>
      </c>
      <c r="H663" t="s">
        <v>18</v>
      </c>
      <c r="I663">
        <v>2</v>
      </c>
      <c r="J663" t="s">
        <v>16</v>
      </c>
      <c r="K663" t="s">
        <v>32</v>
      </c>
      <c r="L663">
        <v>28</v>
      </c>
      <c r="M663" t="str">
        <f t="shared" si="10"/>
        <v>Adolescence</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Young</v>
      </c>
      <c r="N664" t="s">
        <v>18</v>
      </c>
    </row>
    <row r="665" spans="1:14" hidden="1"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Young</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Young</v>
      </c>
      <c r="N667" t="s">
        <v>18</v>
      </c>
    </row>
    <row r="668" spans="1:14" hidden="1"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hidden="1" x14ac:dyDescent="0.3">
      <c r="A669">
        <v>20505</v>
      </c>
      <c r="B669" t="s">
        <v>36</v>
      </c>
      <c r="C669" t="s">
        <v>38</v>
      </c>
      <c r="D669" s="1">
        <v>40000</v>
      </c>
      <c r="E669">
        <v>5</v>
      </c>
      <c r="F669" t="s">
        <v>27</v>
      </c>
      <c r="G669" t="s">
        <v>21</v>
      </c>
      <c r="H669" t="s">
        <v>18</v>
      </c>
      <c r="I669">
        <v>2</v>
      </c>
      <c r="J669" t="s">
        <v>30</v>
      </c>
      <c r="K669" t="s">
        <v>32</v>
      </c>
      <c r="L669">
        <v>61</v>
      </c>
      <c r="M669" t="str">
        <f t="shared" si="10"/>
        <v>Middle Age</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Young</v>
      </c>
      <c r="N670" t="s">
        <v>18</v>
      </c>
    </row>
    <row r="671" spans="1:14" hidden="1"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hidden="1" x14ac:dyDescent="0.3">
      <c r="A672">
        <v>21471</v>
      </c>
      <c r="B672" t="s">
        <v>36</v>
      </c>
      <c r="C672" t="s">
        <v>39</v>
      </c>
      <c r="D672" s="1">
        <v>70000</v>
      </c>
      <c r="E672">
        <v>2</v>
      </c>
      <c r="F672" t="s">
        <v>19</v>
      </c>
      <c r="G672" t="s">
        <v>21</v>
      </c>
      <c r="H672" t="s">
        <v>15</v>
      </c>
      <c r="I672">
        <v>1</v>
      </c>
      <c r="J672" t="s">
        <v>30</v>
      </c>
      <c r="K672" t="s">
        <v>32</v>
      </c>
      <c r="L672">
        <v>59</v>
      </c>
      <c r="M672" t="str">
        <f t="shared" si="10"/>
        <v>Middle Age</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Young</v>
      </c>
      <c r="N673" t="s">
        <v>15</v>
      </c>
    </row>
    <row r="674" spans="1:14" hidden="1" x14ac:dyDescent="0.3">
      <c r="A674">
        <v>21260</v>
      </c>
      <c r="B674" t="s">
        <v>37</v>
      </c>
      <c r="C674" t="s">
        <v>38</v>
      </c>
      <c r="D674" s="1">
        <v>40000</v>
      </c>
      <c r="E674">
        <v>0</v>
      </c>
      <c r="F674" t="s">
        <v>27</v>
      </c>
      <c r="G674" t="s">
        <v>14</v>
      </c>
      <c r="H674" t="s">
        <v>15</v>
      </c>
      <c r="I674">
        <v>2</v>
      </c>
      <c r="J674" t="s">
        <v>23</v>
      </c>
      <c r="K674" t="s">
        <v>32</v>
      </c>
      <c r="L674">
        <v>30</v>
      </c>
      <c r="M674" t="str">
        <f t="shared" si="10"/>
        <v>Adolescence</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Young</v>
      </c>
      <c r="N675" t="s">
        <v>15</v>
      </c>
    </row>
    <row r="676" spans="1:14" hidden="1"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Young</v>
      </c>
      <c r="N677" t="s">
        <v>18</v>
      </c>
    </row>
    <row r="678" spans="1:14" hidden="1"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hidden="1"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hidden="1" x14ac:dyDescent="0.3">
      <c r="A680">
        <v>18145</v>
      </c>
      <c r="B680" t="s">
        <v>36</v>
      </c>
      <c r="C680" t="s">
        <v>39</v>
      </c>
      <c r="D680" s="1">
        <v>80000</v>
      </c>
      <c r="E680">
        <v>5</v>
      </c>
      <c r="F680" t="s">
        <v>13</v>
      </c>
      <c r="G680" t="s">
        <v>28</v>
      </c>
      <c r="H680" t="s">
        <v>18</v>
      </c>
      <c r="I680">
        <v>2</v>
      </c>
      <c r="J680" t="s">
        <v>22</v>
      </c>
      <c r="K680" t="s">
        <v>17</v>
      </c>
      <c r="L680">
        <v>62</v>
      </c>
      <c r="M680" t="str">
        <f t="shared" si="10"/>
        <v>Middle Age</v>
      </c>
      <c r="N680" t="s">
        <v>18</v>
      </c>
    </row>
    <row r="681" spans="1:14" hidden="1" x14ac:dyDescent="0.3">
      <c r="A681">
        <v>21770</v>
      </c>
      <c r="B681" t="s">
        <v>36</v>
      </c>
      <c r="C681" t="s">
        <v>39</v>
      </c>
      <c r="D681" s="1">
        <v>60000</v>
      </c>
      <c r="E681">
        <v>4</v>
      </c>
      <c r="F681" t="s">
        <v>13</v>
      </c>
      <c r="G681" t="s">
        <v>28</v>
      </c>
      <c r="H681" t="s">
        <v>15</v>
      </c>
      <c r="I681">
        <v>2</v>
      </c>
      <c r="J681" t="s">
        <v>30</v>
      </c>
      <c r="K681" t="s">
        <v>32</v>
      </c>
      <c r="L681">
        <v>60</v>
      </c>
      <c r="M681" t="str">
        <f t="shared" si="10"/>
        <v>Middle Age</v>
      </c>
      <c r="N681" t="s">
        <v>18</v>
      </c>
    </row>
    <row r="682" spans="1:14" hidden="1" x14ac:dyDescent="0.3">
      <c r="A682">
        <v>11165</v>
      </c>
      <c r="B682" t="s">
        <v>36</v>
      </c>
      <c r="C682" t="s">
        <v>38</v>
      </c>
      <c r="D682" s="1">
        <v>60000</v>
      </c>
      <c r="E682">
        <v>0</v>
      </c>
      <c r="F682" t="s">
        <v>19</v>
      </c>
      <c r="G682" t="s">
        <v>14</v>
      </c>
      <c r="H682" t="s">
        <v>18</v>
      </c>
      <c r="I682">
        <v>1</v>
      </c>
      <c r="J682" t="s">
        <v>26</v>
      </c>
      <c r="K682" t="s">
        <v>32</v>
      </c>
      <c r="L682">
        <v>33</v>
      </c>
      <c r="M682" t="str">
        <f t="shared" si="10"/>
        <v>Adolescence</v>
      </c>
      <c r="N682" t="s">
        <v>18</v>
      </c>
    </row>
    <row r="683" spans="1:14" hidden="1"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hidden="1"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Young</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Young</v>
      </c>
      <c r="N686" t="s">
        <v>18</v>
      </c>
    </row>
    <row r="687" spans="1:14" hidden="1"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hidden="1"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hidden="1" x14ac:dyDescent="0.3">
      <c r="A689">
        <v>18910</v>
      </c>
      <c r="B689" t="s">
        <v>37</v>
      </c>
      <c r="C689" t="s">
        <v>39</v>
      </c>
      <c r="D689" s="1">
        <v>30000</v>
      </c>
      <c r="E689">
        <v>0</v>
      </c>
      <c r="F689" t="s">
        <v>19</v>
      </c>
      <c r="G689" t="s">
        <v>14</v>
      </c>
      <c r="H689" t="s">
        <v>15</v>
      </c>
      <c r="I689">
        <v>2</v>
      </c>
      <c r="J689" t="s">
        <v>23</v>
      </c>
      <c r="K689" t="s">
        <v>32</v>
      </c>
      <c r="L689">
        <v>30</v>
      </c>
      <c r="M689" t="str">
        <f t="shared" si="10"/>
        <v>Adolescence</v>
      </c>
      <c r="N689" t="s">
        <v>18</v>
      </c>
    </row>
    <row r="690" spans="1:14" hidden="1" x14ac:dyDescent="0.3">
      <c r="A690">
        <v>11699</v>
      </c>
      <c r="B690" t="s">
        <v>37</v>
      </c>
      <c r="C690" t="s">
        <v>39</v>
      </c>
      <c r="D690" s="1">
        <v>60000</v>
      </c>
      <c r="E690">
        <v>0</v>
      </c>
      <c r="F690" t="s">
        <v>13</v>
      </c>
      <c r="G690" t="s">
        <v>14</v>
      </c>
      <c r="H690" t="s">
        <v>18</v>
      </c>
      <c r="I690">
        <v>2</v>
      </c>
      <c r="J690" t="s">
        <v>16</v>
      </c>
      <c r="K690" t="s">
        <v>32</v>
      </c>
      <c r="L690">
        <v>30</v>
      </c>
      <c r="M690" t="str">
        <f t="shared" si="10"/>
        <v>Adolescence</v>
      </c>
      <c r="N690" t="s">
        <v>18</v>
      </c>
    </row>
    <row r="691" spans="1:14" hidden="1" x14ac:dyDescent="0.3">
      <c r="A691">
        <v>16725</v>
      </c>
      <c r="B691" t="s">
        <v>36</v>
      </c>
      <c r="C691" t="s">
        <v>39</v>
      </c>
      <c r="D691" s="1">
        <v>30000</v>
      </c>
      <c r="E691">
        <v>0</v>
      </c>
      <c r="F691" t="s">
        <v>27</v>
      </c>
      <c r="G691" t="s">
        <v>14</v>
      </c>
      <c r="H691" t="s">
        <v>15</v>
      </c>
      <c r="I691">
        <v>2</v>
      </c>
      <c r="J691" t="s">
        <v>23</v>
      </c>
      <c r="K691" t="s">
        <v>32</v>
      </c>
      <c r="L691">
        <v>26</v>
      </c>
      <c r="M691" t="str">
        <f t="shared" si="10"/>
        <v>Adolescence</v>
      </c>
      <c r="N691" t="s">
        <v>18</v>
      </c>
    </row>
    <row r="692" spans="1:14" hidden="1"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hidden="1" x14ac:dyDescent="0.3">
      <c r="A693">
        <v>23144</v>
      </c>
      <c r="B693" t="s">
        <v>36</v>
      </c>
      <c r="C693" t="s">
        <v>39</v>
      </c>
      <c r="D693" s="1">
        <v>50000</v>
      </c>
      <c r="E693">
        <v>1</v>
      </c>
      <c r="F693" t="s">
        <v>13</v>
      </c>
      <c r="G693" t="s">
        <v>14</v>
      </c>
      <c r="H693" t="s">
        <v>15</v>
      </c>
      <c r="I693">
        <v>0</v>
      </c>
      <c r="J693" t="s">
        <v>16</v>
      </c>
      <c r="K693" t="s">
        <v>32</v>
      </c>
      <c r="L693">
        <v>34</v>
      </c>
      <c r="M693" t="str">
        <f t="shared" si="10"/>
        <v>Adolescence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Young</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Young</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Young</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Young</v>
      </c>
      <c r="N697" t="s">
        <v>18</v>
      </c>
    </row>
    <row r="698" spans="1:14" hidden="1" x14ac:dyDescent="0.3">
      <c r="A698">
        <v>29112</v>
      </c>
      <c r="B698" t="s">
        <v>37</v>
      </c>
      <c r="C698" t="s">
        <v>39</v>
      </c>
      <c r="D698" s="1">
        <v>60000</v>
      </c>
      <c r="E698">
        <v>0</v>
      </c>
      <c r="F698" t="s">
        <v>19</v>
      </c>
      <c r="G698" t="s">
        <v>21</v>
      </c>
      <c r="H698" t="s">
        <v>18</v>
      </c>
      <c r="I698">
        <v>2</v>
      </c>
      <c r="J698" t="s">
        <v>26</v>
      </c>
      <c r="K698" t="s">
        <v>32</v>
      </c>
      <c r="L698">
        <v>30</v>
      </c>
      <c r="M698" t="str">
        <f t="shared" si="10"/>
        <v>Adolescence</v>
      </c>
      <c r="N698" t="s">
        <v>18</v>
      </c>
    </row>
    <row r="699" spans="1:14" hidden="1" x14ac:dyDescent="0.3">
      <c r="A699">
        <v>14090</v>
      </c>
      <c r="B699" t="s">
        <v>36</v>
      </c>
      <c r="C699" t="s">
        <v>38</v>
      </c>
      <c r="D699" s="1">
        <v>30000</v>
      </c>
      <c r="E699">
        <v>0</v>
      </c>
      <c r="F699" t="s">
        <v>29</v>
      </c>
      <c r="G699" t="s">
        <v>20</v>
      </c>
      <c r="H699" t="s">
        <v>18</v>
      </c>
      <c r="I699">
        <v>2</v>
      </c>
      <c r="J699" t="s">
        <v>16</v>
      </c>
      <c r="K699" t="s">
        <v>32</v>
      </c>
      <c r="L699">
        <v>28</v>
      </c>
      <c r="M699" t="str">
        <f t="shared" si="10"/>
        <v>Adolescence</v>
      </c>
      <c r="N699" t="s">
        <v>18</v>
      </c>
    </row>
    <row r="700" spans="1:14" hidden="1"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Young</v>
      </c>
      <c r="N701" t="s">
        <v>15</v>
      </c>
    </row>
    <row r="702" spans="1:14" hidden="1" x14ac:dyDescent="0.3">
      <c r="A702">
        <v>16795</v>
      </c>
      <c r="B702" t="s">
        <v>36</v>
      </c>
      <c r="C702" t="s">
        <v>38</v>
      </c>
      <c r="D702" s="1">
        <v>70000</v>
      </c>
      <c r="E702">
        <v>4</v>
      </c>
      <c r="F702" t="s">
        <v>13</v>
      </c>
      <c r="G702" t="s">
        <v>28</v>
      </c>
      <c r="H702" t="s">
        <v>15</v>
      </c>
      <c r="I702">
        <v>1</v>
      </c>
      <c r="J702" t="s">
        <v>26</v>
      </c>
      <c r="K702" t="s">
        <v>32</v>
      </c>
      <c r="L702">
        <v>59</v>
      </c>
      <c r="M702" t="str">
        <f t="shared" si="10"/>
        <v>Middle Age</v>
      </c>
      <c r="N702" t="s">
        <v>18</v>
      </c>
    </row>
    <row r="703" spans="1:14" hidden="1" x14ac:dyDescent="0.3">
      <c r="A703">
        <v>22014</v>
      </c>
      <c r="B703" t="s">
        <v>37</v>
      </c>
      <c r="C703" t="s">
        <v>39</v>
      </c>
      <c r="D703" s="1">
        <v>30000</v>
      </c>
      <c r="E703">
        <v>0</v>
      </c>
      <c r="F703" t="s">
        <v>27</v>
      </c>
      <c r="G703" t="s">
        <v>14</v>
      </c>
      <c r="H703" t="s">
        <v>15</v>
      </c>
      <c r="I703">
        <v>2</v>
      </c>
      <c r="J703" t="s">
        <v>23</v>
      </c>
      <c r="K703" t="s">
        <v>32</v>
      </c>
      <c r="L703">
        <v>26</v>
      </c>
      <c r="M703" t="str">
        <f t="shared" si="10"/>
        <v>Adolescence</v>
      </c>
      <c r="N703" t="s">
        <v>18</v>
      </c>
    </row>
    <row r="704" spans="1:14" hidden="1"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hidden="1" x14ac:dyDescent="0.3">
      <c r="A705">
        <v>11619</v>
      </c>
      <c r="B705" t="s">
        <v>37</v>
      </c>
      <c r="C705" t="s">
        <v>38</v>
      </c>
      <c r="D705" s="1">
        <v>50000</v>
      </c>
      <c r="E705">
        <v>0</v>
      </c>
      <c r="F705" t="s">
        <v>31</v>
      </c>
      <c r="G705" t="s">
        <v>14</v>
      </c>
      <c r="H705" t="s">
        <v>15</v>
      </c>
      <c r="I705">
        <v>0</v>
      </c>
      <c r="J705" t="s">
        <v>26</v>
      </c>
      <c r="K705" t="s">
        <v>32</v>
      </c>
      <c r="L705">
        <v>33</v>
      </c>
      <c r="M705" t="str">
        <f t="shared" si="10"/>
        <v>Adolescence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Young</v>
      </c>
      <c r="N706" t="s">
        <v>15</v>
      </c>
    </row>
    <row r="707" spans="1:14" hidden="1" x14ac:dyDescent="0.3">
      <c r="A707">
        <v>11199</v>
      </c>
      <c r="B707" t="s">
        <v>36</v>
      </c>
      <c r="C707" t="s">
        <v>38</v>
      </c>
      <c r="D707" s="1">
        <v>70000</v>
      </c>
      <c r="E707">
        <v>4</v>
      </c>
      <c r="F707" t="s">
        <v>13</v>
      </c>
      <c r="G707" t="s">
        <v>28</v>
      </c>
      <c r="H707" t="s">
        <v>15</v>
      </c>
      <c r="I707">
        <v>1</v>
      </c>
      <c r="J707" t="s">
        <v>30</v>
      </c>
      <c r="K707" t="s">
        <v>32</v>
      </c>
      <c r="L707">
        <v>59</v>
      </c>
      <c r="M707" t="str">
        <f t="shared" ref="M707:M770" si="11">IF(L707&gt;=65, "Old", IF(L707&gt;=45, "Middle Age", IF(L707&gt;=35, "Young", IF(L707&gt;=25, "Adolescence", "Invalid"))))</f>
        <v>Middle Age</v>
      </c>
      <c r="N707" t="s">
        <v>18</v>
      </c>
    </row>
    <row r="708" spans="1:14" hidden="1" x14ac:dyDescent="0.3">
      <c r="A708">
        <v>20296</v>
      </c>
      <c r="B708" t="s">
        <v>37</v>
      </c>
      <c r="C708" t="s">
        <v>38</v>
      </c>
      <c r="D708" s="1">
        <v>60000</v>
      </c>
      <c r="E708">
        <v>0</v>
      </c>
      <c r="F708" t="s">
        <v>19</v>
      </c>
      <c r="G708" t="s">
        <v>14</v>
      </c>
      <c r="H708" t="s">
        <v>18</v>
      </c>
      <c r="I708">
        <v>1</v>
      </c>
      <c r="J708" t="s">
        <v>26</v>
      </c>
      <c r="K708" t="s">
        <v>32</v>
      </c>
      <c r="L708">
        <v>33</v>
      </c>
      <c r="M708" t="str">
        <f t="shared" si="11"/>
        <v>Adolescence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Young</v>
      </c>
      <c r="N709" t="s">
        <v>15</v>
      </c>
    </row>
    <row r="710" spans="1:14" hidden="1" x14ac:dyDescent="0.3">
      <c r="A710">
        <v>18069</v>
      </c>
      <c r="B710" t="s">
        <v>36</v>
      </c>
      <c r="C710" t="s">
        <v>39</v>
      </c>
      <c r="D710" s="1">
        <v>70000</v>
      </c>
      <c r="E710">
        <v>5</v>
      </c>
      <c r="F710" t="s">
        <v>13</v>
      </c>
      <c r="G710" t="s">
        <v>28</v>
      </c>
      <c r="H710" t="s">
        <v>15</v>
      </c>
      <c r="I710">
        <v>4</v>
      </c>
      <c r="J710" t="s">
        <v>30</v>
      </c>
      <c r="K710" t="s">
        <v>32</v>
      </c>
      <c r="L710">
        <v>60</v>
      </c>
      <c r="M710" t="str">
        <f t="shared" si="11"/>
        <v>Middle Age</v>
      </c>
      <c r="N710" t="s">
        <v>18</v>
      </c>
    </row>
    <row r="711" spans="1:14" hidden="1" x14ac:dyDescent="0.3">
      <c r="A711">
        <v>23712</v>
      </c>
      <c r="B711" t="s">
        <v>37</v>
      </c>
      <c r="C711" t="s">
        <v>38</v>
      </c>
      <c r="D711" s="1">
        <v>70000</v>
      </c>
      <c r="E711">
        <v>2</v>
      </c>
      <c r="F711" t="s">
        <v>13</v>
      </c>
      <c r="G711" t="s">
        <v>28</v>
      </c>
      <c r="H711" t="s">
        <v>15</v>
      </c>
      <c r="I711">
        <v>1</v>
      </c>
      <c r="J711" t="s">
        <v>30</v>
      </c>
      <c r="K711" t="s">
        <v>32</v>
      </c>
      <c r="L711">
        <v>59</v>
      </c>
      <c r="M711" t="str">
        <f t="shared" si="11"/>
        <v>Middle Age</v>
      </c>
      <c r="N711" t="s">
        <v>18</v>
      </c>
    </row>
    <row r="712" spans="1:14" hidden="1" x14ac:dyDescent="0.3">
      <c r="A712">
        <v>23358</v>
      </c>
      <c r="B712" t="s">
        <v>36</v>
      </c>
      <c r="C712" t="s">
        <v>39</v>
      </c>
      <c r="D712" s="1">
        <v>60000</v>
      </c>
      <c r="E712">
        <v>0</v>
      </c>
      <c r="F712" t="s">
        <v>27</v>
      </c>
      <c r="G712" t="s">
        <v>21</v>
      </c>
      <c r="H712" t="s">
        <v>15</v>
      </c>
      <c r="I712">
        <v>2</v>
      </c>
      <c r="J712" t="s">
        <v>23</v>
      </c>
      <c r="K712" t="s">
        <v>32</v>
      </c>
      <c r="L712">
        <v>32</v>
      </c>
      <c r="M712" t="str">
        <f t="shared" si="11"/>
        <v>Adolescence</v>
      </c>
      <c r="N712" t="s">
        <v>15</v>
      </c>
    </row>
    <row r="713" spans="1:14" hidden="1" x14ac:dyDescent="0.3">
      <c r="A713">
        <v>20518</v>
      </c>
      <c r="B713" t="s">
        <v>36</v>
      </c>
      <c r="C713" t="s">
        <v>38</v>
      </c>
      <c r="D713" s="1">
        <v>70000</v>
      </c>
      <c r="E713">
        <v>2</v>
      </c>
      <c r="F713" t="s">
        <v>19</v>
      </c>
      <c r="G713" t="s">
        <v>21</v>
      </c>
      <c r="H713" t="s">
        <v>15</v>
      </c>
      <c r="I713">
        <v>1</v>
      </c>
      <c r="J713" t="s">
        <v>30</v>
      </c>
      <c r="K713" t="s">
        <v>32</v>
      </c>
      <c r="L713">
        <v>58</v>
      </c>
      <c r="M713" t="str">
        <f t="shared" si="11"/>
        <v>Middle Age</v>
      </c>
      <c r="N713" t="s">
        <v>18</v>
      </c>
    </row>
    <row r="714" spans="1:14" hidden="1" x14ac:dyDescent="0.3">
      <c r="A714">
        <v>28026</v>
      </c>
      <c r="B714" t="s">
        <v>36</v>
      </c>
      <c r="C714" t="s">
        <v>38</v>
      </c>
      <c r="D714" s="1">
        <v>40000</v>
      </c>
      <c r="E714">
        <v>2</v>
      </c>
      <c r="F714" t="s">
        <v>27</v>
      </c>
      <c r="G714" t="s">
        <v>21</v>
      </c>
      <c r="H714" t="s">
        <v>18</v>
      </c>
      <c r="I714">
        <v>2</v>
      </c>
      <c r="J714" t="s">
        <v>22</v>
      </c>
      <c r="K714" t="s">
        <v>32</v>
      </c>
      <c r="L714">
        <v>59</v>
      </c>
      <c r="M714" t="str">
        <f t="shared" si="11"/>
        <v>Middle Age</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Young</v>
      </c>
      <c r="N715" t="s">
        <v>18</v>
      </c>
    </row>
    <row r="716" spans="1:14" hidden="1" x14ac:dyDescent="0.3">
      <c r="A716">
        <v>16020</v>
      </c>
      <c r="B716" t="s">
        <v>36</v>
      </c>
      <c r="C716" t="s">
        <v>39</v>
      </c>
      <c r="D716" s="1">
        <v>40000</v>
      </c>
      <c r="E716">
        <v>0</v>
      </c>
      <c r="F716" t="s">
        <v>27</v>
      </c>
      <c r="G716" t="s">
        <v>14</v>
      </c>
      <c r="H716" t="s">
        <v>15</v>
      </c>
      <c r="I716">
        <v>2</v>
      </c>
      <c r="J716" t="s">
        <v>23</v>
      </c>
      <c r="K716" t="s">
        <v>32</v>
      </c>
      <c r="L716">
        <v>28</v>
      </c>
      <c r="M716" t="str">
        <f t="shared" si="11"/>
        <v>Adolescence</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Young</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Young</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Young</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Young</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Young</v>
      </c>
      <c r="N721" t="s">
        <v>18</v>
      </c>
    </row>
    <row r="722" spans="1:14" hidden="1" x14ac:dyDescent="0.3">
      <c r="A722">
        <v>24958</v>
      </c>
      <c r="B722" t="s">
        <v>37</v>
      </c>
      <c r="C722" t="s">
        <v>38</v>
      </c>
      <c r="D722" s="1">
        <v>40000</v>
      </c>
      <c r="E722">
        <v>5</v>
      </c>
      <c r="F722" t="s">
        <v>27</v>
      </c>
      <c r="G722" t="s">
        <v>21</v>
      </c>
      <c r="H722" t="s">
        <v>18</v>
      </c>
      <c r="I722">
        <v>3</v>
      </c>
      <c r="J722" t="s">
        <v>22</v>
      </c>
      <c r="K722" t="s">
        <v>32</v>
      </c>
      <c r="L722">
        <v>60</v>
      </c>
      <c r="M722" t="str">
        <f t="shared" si="11"/>
        <v>Middle Age</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Young</v>
      </c>
      <c r="N723" t="s">
        <v>15</v>
      </c>
    </row>
    <row r="724" spans="1:14" hidden="1"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hidden="1"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hidden="1"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Young</v>
      </c>
      <c r="N727" t="s">
        <v>15</v>
      </c>
    </row>
    <row r="728" spans="1:14" hidden="1"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hidden="1"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hidden="1" x14ac:dyDescent="0.3">
      <c r="A730">
        <v>27731</v>
      </c>
      <c r="B730" t="s">
        <v>36</v>
      </c>
      <c r="C730" t="s">
        <v>39</v>
      </c>
      <c r="D730" s="1">
        <v>40000</v>
      </c>
      <c r="E730">
        <v>0</v>
      </c>
      <c r="F730" t="s">
        <v>27</v>
      </c>
      <c r="G730" t="s">
        <v>14</v>
      </c>
      <c r="H730" t="s">
        <v>15</v>
      </c>
      <c r="I730">
        <v>2</v>
      </c>
      <c r="J730" t="s">
        <v>23</v>
      </c>
      <c r="K730" t="s">
        <v>32</v>
      </c>
      <c r="L730">
        <v>27</v>
      </c>
      <c r="M730" t="str">
        <f t="shared" si="11"/>
        <v>Adolescence</v>
      </c>
      <c r="N730" t="s">
        <v>18</v>
      </c>
    </row>
    <row r="731" spans="1:14" hidden="1"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Young</v>
      </c>
      <c r="N732" t="s">
        <v>15</v>
      </c>
    </row>
    <row r="733" spans="1:14" hidden="1"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Young</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Young</v>
      </c>
      <c r="N735" t="s">
        <v>18</v>
      </c>
    </row>
    <row r="736" spans="1:14" hidden="1"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hidden="1" x14ac:dyDescent="0.3">
      <c r="A737">
        <v>14514</v>
      </c>
      <c r="B737" t="s">
        <v>37</v>
      </c>
      <c r="C737" t="s">
        <v>38</v>
      </c>
      <c r="D737" s="1">
        <v>30000</v>
      </c>
      <c r="E737">
        <v>0</v>
      </c>
      <c r="F737" t="s">
        <v>19</v>
      </c>
      <c r="G737" t="s">
        <v>14</v>
      </c>
      <c r="H737" t="s">
        <v>15</v>
      </c>
      <c r="I737">
        <v>1</v>
      </c>
      <c r="J737" t="s">
        <v>23</v>
      </c>
      <c r="K737" t="s">
        <v>32</v>
      </c>
      <c r="L737">
        <v>26</v>
      </c>
      <c r="M737" t="str">
        <f t="shared" si="11"/>
        <v>Adolescence</v>
      </c>
      <c r="N737" t="s">
        <v>18</v>
      </c>
    </row>
    <row r="738" spans="1:14" hidden="1" x14ac:dyDescent="0.3">
      <c r="A738">
        <v>19634</v>
      </c>
      <c r="B738" t="s">
        <v>36</v>
      </c>
      <c r="C738" t="s">
        <v>39</v>
      </c>
      <c r="D738" s="1">
        <v>40000</v>
      </c>
      <c r="E738">
        <v>0</v>
      </c>
      <c r="F738" t="s">
        <v>27</v>
      </c>
      <c r="G738" t="s">
        <v>14</v>
      </c>
      <c r="H738" t="s">
        <v>15</v>
      </c>
      <c r="I738">
        <v>1</v>
      </c>
      <c r="J738" t="s">
        <v>23</v>
      </c>
      <c r="K738" t="s">
        <v>32</v>
      </c>
      <c r="L738">
        <v>31</v>
      </c>
      <c r="M738" t="str">
        <f t="shared" si="11"/>
        <v>Adolescence</v>
      </c>
      <c r="N738" t="s">
        <v>18</v>
      </c>
    </row>
    <row r="739" spans="1:14" hidden="1"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hidden="1"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hidden="1" x14ac:dyDescent="0.3">
      <c r="A741">
        <v>11225</v>
      </c>
      <c r="B741" t="s">
        <v>36</v>
      </c>
      <c r="C741" t="s">
        <v>38</v>
      </c>
      <c r="D741" s="1">
        <v>60000</v>
      </c>
      <c r="E741">
        <v>2</v>
      </c>
      <c r="F741" t="s">
        <v>19</v>
      </c>
      <c r="G741" t="s">
        <v>21</v>
      </c>
      <c r="H741" t="s">
        <v>15</v>
      </c>
      <c r="I741">
        <v>1</v>
      </c>
      <c r="J741" t="s">
        <v>30</v>
      </c>
      <c r="K741" t="s">
        <v>32</v>
      </c>
      <c r="L741">
        <v>55</v>
      </c>
      <c r="M741" t="str">
        <f t="shared" si="11"/>
        <v>Middle Age</v>
      </c>
      <c r="N741" t="s">
        <v>18</v>
      </c>
    </row>
    <row r="742" spans="1:14" hidden="1" x14ac:dyDescent="0.3">
      <c r="A742">
        <v>17657</v>
      </c>
      <c r="B742" t="s">
        <v>36</v>
      </c>
      <c r="C742" t="s">
        <v>39</v>
      </c>
      <c r="D742" s="1">
        <v>40000</v>
      </c>
      <c r="E742">
        <v>4</v>
      </c>
      <c r="F742" t="s">
        <v>19</v>
      </c>
      <c r="G742" t="s">
        <v>20</v>
      </c>
      <c r="H742" t="s">
        <v>18</v>
      </c>
      <c r="I742">
        <v>0</v>
      </c>
      <c r="J742" t="s">
        <v>16</v>
      </c>
      <c r="K742" t="s">
        <v>32</v>
      </c>
      <c r="L742">
        <v>30</v>
      </c>
      <c r="M742" t="str">
        <f t="shared" si="11"/>
        <v>Adolescence</v>
      </c>
      <c r="N742" t="s">
        <v>18</v>
      </c>
    </row>
    <row r="743" spans="1:14" hidden="1"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hidden="1" x14ac:dyDescent="0.3">
      <c r="A744">
        <v>14077</v>
      </c>
      <c r="B744" t="s">
        <v>37</v>
      </c>
      <c r="C744" t="s">
        <v>39</v>
      </c>
      <c r="D744" s="1">
        <v>30000</v>
      </c>
      <c r="E744">
        <v>0</v>
      </c>
      <c r="F744" t="s">
        <v>27</v>
      </c>
      <c r="G744" t="s">
        <v>14</v>
      </c>
      <c r="H744" t="s">
        <v>15</v>
      </c>
      <c r="I744">
        <v>2</v>
      </c>
      <c r="J744" t="s">
        <v>23</v>
      </c>
      <c r="K744" t="s">
        <v>32</v>
      </c>
      <c r="L744">
        <v>30</v>
      </c>
      <c r="M744" t="str">
        <f t="shared" si="11"/>
        <v>Adolescence</v>
      </c>
      <c r="N744" t="s">
        <v>18</v>
      </c>
    </row>
    <row r="745" spans="1:14" hidden="1"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hidden="1" x14ac:dyDescent="0.3">
      <c r="A746">
        <v>20535</v>
      </c>
      <c r="B746" t="s">
        <v>36</v>
      </c>
      <c r="C746" t="s">
        <v>38</v>
      </c>
      <c r="D746" s="1">
        <v>70000</v>
      </c>
      <c r="E746">
        <v>4</v>
      </c>
      <c r="F746" t="s">
        <v>19</v>
      </c>
      <c r="G746" t="s">
        <v>21</v>
      </c>
      <c r="H746" t="s">
        <v>15</v>
      </c>
      <c r="I746">
        <v>1</v>
      </c>
      <c r="J746" t="s">
        <v>30</v>
      </c>
      <c r="K746" t="s">
        <v>32</v>
      </c>
      <c r="L746">
        <v>56</v>
      </c>
      <c r="M746" t="str">
        <f t="shared" si="11"/>
        <v>Middle Age</v>
      </c>
      <c r="N746" t="s">
        <v>18</v>
      </c>
    </row>
    <row r="747" spans="1:14" hidden="1"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hidden="1" x14ac:dyDescent="0.3">
      <c r="A748">
        <v>28043</v>
      </c>
      <c r="B748" t="s">
        <v>36</v>
      </c>
      <c r="C748" t="s">
        <v>38</v>
      </c>
      <c r="D748" s="1">
        <v>60000</v>
      </c>
      <c r="E748">
        <v>2</v>
      </c>
      <c r="F748" t="s">
        <v>13</v>
      </c>
      <c r="G748" t="s">
        <v>28</v>
      </c>
      <c r="H748" t="s">
        <v>15</v>
      </c>
      <c r="I748">
        <v>0</v>
      </c>
      <c r="J748" t="s">
        <v>30</v>
      </c>
      <c r="K748" t="s">
        <v>32</v>
      </c>
      <c r="L748">
        <v>56</v>
      </c>
      <c r="M748" t="str">
        <f t="shared" si="11"/>
        <v>Middle Age</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Young</v>
      </c>
      <c r="N749" t="s">
        <v>18</v>
      </c>
    </row>
    <row r="750" spans="1:14" hidden="1"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hidden="1" x14ac:dyDescent="0.3">
      <c r="A751">
        <v>20514</v>
      </c>
      <c r="B751" t="s">
        <v>36</v>
      </c>
      <c r="C751" t="s">
        <v>38</v>
      </c>
      <c r="D751" s="1">
        <v>70000</v>
      </c>
      <c r="E751">
        <v>2</v>
      </c>
      <c r="F751" t="s">
        <v>19</v>
      </c>
      <c r="G751" t="s">
        <v>21</v>
      </c>
      <c r="H751" t="s">
        <v>15</v>
      </c>
      <c r="I751">
        <v>1</v>
      </c>
      <c r="J751" t="s">
        <v>22</v>
      </c>
      <c r="K751" t="s">
        <v>32</v>
      </c>
      <c r="L751">
        <v>59</v>
      </c>
      <c r="M751" t="str">
        <f t="shared" si="11"/>
        <v>Middle Age</v>
      </c>
      <c r="N751" t="s">
        <v>18</v>
      </c>
    </row>
    <row r="752" spans="1:14" hidden="1"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Young</v>
      </c>
      <c r="N753" t="s">
        <v>18</v>
      </c>
    </row>
    <row r="754" spans="1:14" hidden="1" x14ac:dyDescent="0.3">
      <c r="A754">
        <v>22211</v>
      </c>
      <c r="B754" t="s">
        <v>36</v>
      </c>
      <c r="C754" t="s">
        <v>39</v>
      </c>
      <c r="D754" s="1">
        <v>60000</v>
      </c>
      <c r="E754">
        <v>0</v>
      </c>
      <c r="F754" t="s">
        <v>19</v>
      </c>
      <c r="G754" t="s">
        <v>21</v>
      </c>
      <c r="H754" t="s">
        <v>15</v>
      </c>
      <c r="I754">
        <v>2</v>
      </c>
      <c r="J754" t="s">
        <v>23</v>
      </c>
      <c r="K754" t="s">
        <v>32</v>
      </c>
      <c r="L754">
        <v>32</v>
      </c>
      <c r="M754" t="str">
        <f t="shared" si="11"/>
        <v>Adolescence</v>
      </c>
      <c r="N754" t="s">
        <v>18</v>
      </c>
    </row>
    <row r="755" spans="1:14" hidden="1" x14ac:dyDescent="0.3">
      <c r="A755">
        <v>28087</v>
      </c>
      <c r="B755" t="s">
        <v>37</v>
      </c>
      <c r="C755" t="s">
        <v>38</v>
      </c>
      <c r="D755" s="1">
        <v>40000</v>
      </c>
      <c r="E755">
        <v>0</v>
      </c>
      <c r="F755" t="s">
        <v>19</v>
      </c>
      <c r="G755" t="s">
        <v>14</v>
      </c>
      <c r="H755" t="s">
        <v>18</v>
      </c>
      <c r="I755">
        <v>1</v>
      </c>
      <c r="J755" t="s">
        <v>26</v>
      </c>
      <c r="K755" t="s">
        <v>32</v>
      </c>
      <c r="L755">
        <v>27</v>
      </c>
      <c r="M755" t="str">
        <f t="shared" si="11"/>
        <v>Adolescence</v>
      </c>
      <c r="N755" t="s">
        <v>18</v>
      </c>
    </row>
    <row r="756" spans="1:14" hidden="1" x14ac:dyDescent="0.3">
      <c r="A756">
        <v>23668</v>
      </c>
      <c r="B756" t="s">
        <v>36</v>
      </c>
      <c r="C756" t="s">
        <v>38</v>
      </c>
      <c r="D756" s="1">
        <v>40000</v>
      </c>
      <c r="E756">
        <v>4</v>
      </c>
      <c r="F756" t="s">
        <v>27</v>
      </c>
      <c r="G756" t="s">
        <v>21</v>
      </c>
      <c r="H756" t="s">
        <v>15</v>
      </c>
      <c r="I756">
        <v>2</v>
      </c>
      <c r="J756" t="s">
        <v>23</v>
      </c>
      <c r="K756" t="s">
        <v>32</v>
      </c>
      <c r="L756">
        <v>59</v>
      </c>
      <c r="M756" t="str">
        <f t="shared" si="11"/>
        <v>Middle Age</v>
      </c>
      <c r="N756" t="s">
        <v>15</v>
      </c>
    </row>
    <row r="757" spans="1:14" hidden="1"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Young</v>
      </c>
      <c r="N758" t="s">
        <v>15</v>
      </c>
    </row>
    <row r="759" spans="1:14" hidden="1"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hidden="1"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Young</v>
      </c>
      <c r="N761" t="s">
        <v>15</v>
      </c>
    </row>
    <row r="762" spans="1:14" hidden="1"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hidden="1" x14ac:dyDescent="0.3">
      <c r="A763">
        <v>13216</v>
      </c>
      <c r="B763" t="s">
        <v>36</v>
      </c>
      <c r="C763" t="s">
        <v>38</v>
      </c>
      <c r="D763" s="1">
        <v>60000</v>
      </c>
      <c r="E763">
        <v>5</v>
      </c>
      <c r="F763" t="s">
        <v>13</v>
      </c>
      <c r="G763" t="s">
        <v>28</v>
      </c>
      <c r="H763" t="s">
        <v>15</v>
      </c>
      <c r="I763">
        <v>3</v>
      </c>
      <c r="J763" t="s">
        <v>30</v>
      </c>
      <c r="K763" t="s">
        <v>32</v>
      </c>
      <c r="L763">
        <v>59</v>
      </c>
      <c r="M763" t="str">
        <f t="shared" si="11"/>
        <v>Middle Age</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Young</v>
      </c>
      <c r="N764" t="s">
        <v>15</v>
      </c>
    </row>
    <row r="765" spans="1:14" hidden="1" x14ac:dyDescent="0.3">
      <c r="A765">
        <v>12882</v>
      </c>
      <c r="B765" t="s">
        <v>36</v>
      </c>
      <c r="C765" t="s">
        <v>39</v>
      </c>
      <c r="D765" s="1">
        <v>50000</v>
      </c>
      <c r="E765">
        <v>1</v>
      </c>
      <c r="F765" t="s">
        <v>31</v>
      </c>
      <c r="G765" t="s">
        <v>14</v>
      </c>
      <c r="H765" t="s">
        <v>15</v>
      </c>
      <c r="I765">
        <v>0</v>
      </c>
      <c r="J765" t="s">
        <v>16</v>
      </c>
      <c r="K765" t="s">
        <v>32</v>
      </c>
      <c r="L765">
        <v>33</v>
      </c>
      <c r="M765" t="str">
        <f t="shared" si="11"/>
        <v>Adolescence</v>
      </c>
      <c r="N765" t="s">
        <v>15</v>
      </c>
    </row>
    <row r="766" spans="1:14" hidden="1" x14ac:dyDescent="0.3">
      <c r="A766">
        <v>25908</v>
      </c>
      <c r="B766" t="s">
        <v>36</v>
      </c>
      <c r="C766" t="s">
        <v>38</v>
      </c>
      <c r="D766" s="1">
        <v>60000</v>
      </c>
      <c r="E766">
        <v>0</v>
      </c>
      <c r="F766" t="s">
        <v>19</v>
      </c>
      <c r="G766" t="s">
        <v>14</v>
      </c>
      <c r="H766" t="s">
        <v>18</v>
      </c>
      <c r="I766">
        <v>1</v>
      </c>
      <c r="J766" t="s">
        <v>26</v>
      </c>
      <c r="K766" t="s">
        <v>32</v>
      </c>
      <c r="L766">
        <v>27</v>
      </c>
      <c r="M766" t="str">
        <f t="shared" si="11"/>
        <v>Adolescence</v>
      </c>
      <c r="N766" t="s">
        <v>18</v>
      </c>
    </row>
    <row r="767" spans="1:14" hidden="1" x14ac:dyDescent="0.3">
      <c r="A767">
        <v>16753</v>
      </c>
      <c r="B767" t="s">
        <v>37</v>
      </c>
      <c r="C767" t="s">
        <v>38</v>
      </c>
      <c r="D767" s="1">
        <v>70000</v>
      </c>
      <c r="E767">
        <v>0</v>
      </c>
      <c r="F767" t="s">
        <v>19</v>
      </c>
      <c r="G767" t="s">
        <v>14</v>
      </c>
      <c r="H767" t="s">
        <v>15</v>
      </c>
      <c r="I767">
        <v>2</v>
      </c>
      <c r="J767" t="s">
        <v>23</v>
      </c>
      <c r="K767" t="s">
        <v>32</v>
      </c>
      <c r="L767">
        <v>34</v>
      </c>
      <c r="M767" t="str">
        <f t="shared" si="11"/>
        <v>Adolescence</v>
      </c>
      <c r="N767" t="s">
        <v>15</v>
      </c>
    </row>
    <row r="768" spans="1:14" x14ac:dyDescent="0.3">
      <c r="A768">
        <v>14608</v>
      </c>
      <c r="B768" t="s">
        <v>36</v>
      </c>
      <c r="C768" t="s">
        <v>39</v>
      </c>
      <c r="D768" s="1">
        <v>50000</v>
      </c>
      <c r="E768">
        <v>4</v>
      </c>
      <c r="F768" t="s">
        <v>13</v>
      </c>
      <c r="G768" t="s">
        <v>14</v>
      </c>
      <c r="H768" t="s">
        <v>15</v>
      </c>
      <c r="I768">
        <v>3</v>
      </c>
      <c r="J768" t="s">
        <v>30</v>
      </c>
      <c r="K768" t="s">
        <v>32</v>
      </c>
      <c r="L768">
        <v>42</v>
      </c>
      <c r="M768" t="str">
        <f t="shared" si="11"/>
        <v>Young</v>
      </c>
      <c r="N768" t="s">
        <v>18</v>
      </c>
    </row>
    <row r="769" spans="1:14" hidden="1" x14ac:dyDescent="0.3">
      <c r="A769">
        <v>24979</v>
      </c>
      <c r="B769" t="s">
        <v>36</v>
      </c>
      <c r="C769" t="s">
        <v>38</v>
      </c>
      <c r="D769" s="1">
        <v>60000</v>
      </c>
      <c r="E769">
        <v>2</v>
      </c>
      <c r="F769" t="s">
        <v>19</v>
      </c>
      <c r="G769" t="s">
        <v>21</v>
      </c>
      <c r="H769" t="s">
        <v>15</v>
      </c>
      <c r="I769">
        <v>2</v>
      </c>
      <c r="J769" t="s">
        <v>22</v>
      </c>
      <c r="K769" t="s">
        <v>32</v>
      </c>
      <c r="L769">
        <v>57</v>
      </c>
      <c r="M769" t="str">
        <f t="shared" si="11"/>
        <v>Middle Age</v>
      </c>
      <c r="N769" t="s">
        <v>15</v>
      </c>
    </row>
    <row r="770" spans="1:14" hidden="1"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IF(L771&gt;=65, "Old", IF(L771&gt;=45, "Middle Age", IF(L771&gt;=35, "Young", IF(L771&gt;=25, "Adolescence", "Invalid"))))</f>
        <v>Young</v>
      </c>
      <c r="N771" t="s">
        <v>18</v>
      </c>
    </row>
    <row r="772" spans="1:14" hidden="1" x14ac:dyDescent="0.3">
      <c r="A772">
        <v>17699</v>
      </c>
      <c r="B772" t="s">
        <v>36</v>
      </c>
      <c r="C772" t="s">
        <v>39</v>
      </c>
      <c r="D772" s="1">
        <v>60000</v>
      </c>
      <c r="E772">
        <v>1</v>
      </c>
      <c r="F772" t="s">
        <v>31</v>
      </c>
      <c r="G772" t="s">
        <v>14</v>
      </c>
      <c r="H772" t="s">
        <v>18</v>
      </c>
      <c r="I772">
        <v>0</v>
      </c>
      <c r="J772" t="s">
        <v>16</v>
      </c>
      <c r="K772" t="s">
        <v>32</v>
      </c>
      <c r="L772">
        <v>55</v>
      </c>
      <c r="M772" t="str">
        <f t="shared" si="12"/>
        <v>Middle Age</v>
      </c>
      <c r="N772" t="s">
        <v>18</v>
      </c>
    </row>
    <row r="773" spans="1:14" hidden="1"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hidden="1"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hidden="1" x14ac:dyDescent="0.3">
      <c r="A775">
        <v>11783</v>
      </c>
      <c r="B775" t="s">
        <v>36</v>
      </c>
      <c r="C775" t="s">
        <v>38</v>
      </c>
      <c r="D775" s="1">
        <v>60000</v>
      </c>
      <c r="E775">
        <v>1</v>
      </c>
      <c r="F775" t="s">
        <v>31</v>
      </c>
      <c r="G775" t="s">
        <v>14</v>
      </c>
      <c r="H775" t="s">
        <v>15</v>
      </c>
      <c r="I775">
        <v>0</v>
      </c>
      <c r="J775" t="s">
        <v>16</v>
      </c>
      <c r="K775" t="s">
        <v>32</v>
      </c>
      <c r="L775">
        <v>34</v>
      </c>
      <c r="M775" t="str">
        <f t="shared" si="12"/>
        <v>Adolescence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Young</v>
      </c>
      <c r="N776" t="s">
        <v>15</v>
      </c>
    </row>
    <row r="777" spans="1:14" hidden="1" x14ac:dyDescent="0.3">
      <c r="A777">
        <v>29030</v>
      </c>
      <c r="B777" t="s">
        <v>36</v>
      </c>
      <c r="C777" t="s">
        <v>39</v>
      </c>
      <c r="D777" s="1">
        <v>70000</v>
      </c>
      <c r="E777">
        <v>2</v>
      </c>
      <c r="F777" t="s">
        <v>29</v>
      </c>
      <c r="G777" t="s">
        <v>14</v>
      </c>
      <c r="H777" t="s">
        <v>15</v>
      </c>
      <c r="I777">
        <v>2</v>
      </c>
      <c r="J777" t="s">
        <v>30</v>
      </c>
      <c r="K777" t="s">
        <v>32</v>
      </c>
      <c r="L777">
        <v>54</v>
      </c>
      <c r="M777" t="str">
        <f t="shared" si="12"/>
        <v>Middle Age</v>
      </c>
      <c r="N777" t="s">
        <v>18</v>
      </c>
    </row>
    <row r="778" spans="1:14" hidden="1" x14ac:dyDescent="0.3">
      <c r="A778">
        <v>26490</v>
      </c>
      <c r="B778" t="s">
        <v>37</v>
      </c>
      <c r="C778" t="s">
        <v>39</v>
      </c>
      <c r="D778" s="1">
        <v>70000</v>
      </c>
      <c r="E778">
        <v>2</v>
      </c>
      <c r="F778" t="s">
        <v>13</v>
      </c>
      <c r="G778" t="s">
        <v>28</v>
      </c>
      <c r="H778" t="s">
        <v>18</v>
      </c>
      <c r="I778">
        <v>1</v>
      </c>
      <c r="J778" t="s">
        <v>22</v>
      </c>
      <c r="K778" t="s">
        <v>32</v>
      </c>
      <c r="L778">
        <v>59</v>
      </c>
      <c r="M778" t="str">
        <f t="shared" si="12"/>
        <v>Middle Age</v>
      </c>
      <c r="N778" t="s">
        <v>15</v>
      </c>
    </row>
    <row r="779" spans="1:14" hidden="1" x14ac:dyDescent="0.3">
      <c r="A779">
        <v>13151</v>
      </c>
      <c r="B779" t="s">
        <v>37</v>
      </c>
      <c r="C779" t="s">
        <v>39</v>
      </c>
      <c r="D779" s="1">
        <v>40000</v>
      </c>
      <c r="E779">
        <v>0</v>
      </c>
      <c r="F779" t="s">
        <v>27</v>
      </c>
      <c r="G779" t="s">
        <v>14</v>
      </c>
      <c r="H779" t="s">
        <v>15</v>
      </c>
      <c r="I779">
        <v>2</v>
      </c>
      <c r="J779" t="s">
        <v>23</v>
      </c>
      <c r="K779" t="s">
        <v>32</v>
      </c>
      <c r="L779">
        <v>27</v>
      </c>
      <c r="M779" t="str">
        <f t="shared" si="12"/>
        <v>Adolescence</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Young</v>
      </c>
      <c r="N780" t="s">
        <v>18</v>
      </c>
    </row>
    <row r="781" spans="1:14" hidden="1"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hidden="1" x14ac:dyDescent="0.3">
      <c r="A782">
        <v>18105</v>
      </c>
      <c r="B782" t="s">
        <v>36</v>
      </c>
      <c r="C782" t="s">
        <v>38</v>
      </c>
      <c r="D782" s="1">
        <v>60000</v>
      </c>
      <c r="E782">
        <v>2</v>
      </c>
      <c r="F782" t="s">
        <v>19</v>
      </c>
      <c r="G782" t="s">
        <v>21</v>
      </c>
      <c r="H782" t="s">
        <v>15</v>
      </c>
      <c r="I782">
        <v>1</v>
      </c>
      <c r="J782" t="s">
        <v>30</v>
      </c>
      <c r="K782" t="s">
        <v>32</v>
      </c>
      <c r="L782">
        <v>55</v>
      </c>
      <c r="M782" t="str">
        <f t="shared" si="12"/>
        <v>Middle Age</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Young</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Young</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Young</v>
      </c>
      <c r="N785" t="s">
        <v>18</v>
      </c>
    </row>
    <row r="786" spans="1:14" hidden="1"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hidden="1" x14ac:dyDescent="0.3">
      <c r="A787">
        <v>24496</v>
      </c>
      <c r="B787" t="s">
        <v>37</v>
      </c>
      <c r="C787" t="s">
        <v>38</v>
      </c>
      <c r="D787" s="1">
        <v>40000</v>
      </c>
      <c r="E787">
        <v>0</v>
      </c>
      <c r="F787" t="s">
        <v>27</v>
      </c>
      <c r="G787" t="s">
        <v>14</v>
      </c>
      <c r="H787" t="s">
        <v>18</v>
      </c>
      <c r="I787">
        <v>2</v>
      </c>
      <c r="J787" t="s">
        <v>16</v>
      </c>
      <c r="K787" t="s">
        <v>32</v>
      </c>
      <c r="L787">
        <v>28</v>
      </c>
      <c r="M787" t="str">
        <f t="shared" si="12"/>
        <v>Adolescence</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Young</v>
      </c>
      <c r="N788" t="s">
        <v>18</v>
      </c>
    </row>
    <row r="789" spans="1:14" hidden="1" x14ac:dyDescent="0.3">
      <c r="A789">
        <v>28031</v>
      </c>
      <c r="B789" t="s">
        <v>37</v>
      </c>
      <c r="C789" t="s">
        <v>38</v>
      </c>
      <c r="D789" s="1">
        <v>70000</v>
      </c>
      <c r="E789">
        <v>2</v>
      </c>
      <c r="F789" t="s">
        <v>13</v>
      </c>
      <c r="G789" t="s">
        <v>28</v>
      </c>
      <c r="H789" t="s">
        <v>18</v>
      </c>
      <c r="I789">
        <v>1</v>
      </c>
      <c r="J789" t="s">
        <v>22</v>
      </c>
      <c r="K789" t="s">
        <v>32</v>
      </c>
      <c r="L789">
        <v>59</v>
      </c>
      <c r="M789" t="str">
        <f t="shared" si="12"/>
        <v>Middle Age</v>
      </c>
      <c r="N789" t="s">
        <v>15</v>
      </c>
    </row>
    <row r="790" spans="1:14" hidden="1"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hidden="1"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hidden="1"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hidden="1" x14ac:dyDescent="0.3">
      <c r="A793">
        <v>18363</v>
      </c>
      <c r="B793" t="s">
        <v>36</v>
      </c>
      <c r="C793" t="s">
        <v>39</v>
      </c>
      <c r="D793" s="1">
        <v>40000</v>
      </c>
      <c r="E793">
        <v>0</v>
      </c>
      <c r="F793" t="s">
        <v>27</v>
      </c>
      <c r="G793" t="s">
        <v>14</v>
      </c>
      <c r="H793" t="s">
        <v>15</v>
      </c>
      <c r="I793">
        <v>2</v>
      </c>
      <c r="J793" t="s">
        <v>23</v>
      </c>
      <c r="K793" t="s">
        <v>32</v>
      </c>
      <c r="L793">
        <v>28</v>
      </c>
      <c r="M793" t="str">
        <f t="shared" si="12"/>
        <v>Adolescence</v>
      </c>
      <c r="N793" t="s">
        <v>15</v>
      </c>
    </row>
    <row r="794" spans="1:14" hidden="1"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hidden="1"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hidden="1"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hidden="1"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hidden="1" x14ac:dyDescent="0.3">
      <c r="A798">
        <v>13382</v>
      </c>
      <c r="B798" t="s">
        <v>36</v>
      </c>
      <c r="C798" t="s">
        <v>39</v>
      </c>
      <c r="D798" s="1">
        <v>70000</v>
      </c>
      <c r="E798">
        <v>5</v>
      </c>
      <c r="F798" t="s">
        <v>19</v>
      </c>
      <c r="G798" t="s">
        <v>21</v>
      </c>
      <c r="H798" t="s">
        <v>15</v>
      </c>
      <c r="I798">
        <v>2</v>
      </c>
      <c r="J798" t="s">
        <v>26</v>
      </c>
      <c r="K798" t="s">
        <v>32</v>
      </c>
      <c r="L798">
        <v>57</v>
      </c>
      <c r="M798" t="str">
        <f t="shared" si="12"/>
        <v>Middle Age</v>
      </c>
      <c r="N798" t="s">
        <v>15</v>
      </c>
    </row>
    <row r="799" spans="1:14" hidden="1" x14ac:dyDescent="0.3">
      <c r="A799">
        <v>20310</v>
      </c>
      <c r="B799" t="s">
        <v>37</v>
      </c>
      <c r="C799" t="s">
        <v>39</v>
      </c>
      <c r="D799" s="1">
        <v>60000</v>
      </c>
      <c r="E799">
        <v>0</v>
      </c>
      <c r="F799" t="s">
        <v>19</v>
      </c>
      <c r="G799" t="s">
        <v>14</v>
      </c>
      <c r="H799" t="s">
        <v>15</v>
      </c>
      <c r="I799">
        <v>1</v>
      </c>
      <c r="J799" t="s">
        <v>23</v>
      </c>
      <c r="K799" t="s">
        <v>32</v>
      </c>
      <c r="L799">
        <v>27</v>
      </c>
      <c r="M799" t="str">
        <f t="shared" si="12"/>
        <v>Adolescence</v>
      </c>
      <c r="N799" t="s">
        <v>15</v>
      </c>
    </row>
    <row r="800" spans="1:14" hidden="1" x14ac:dyDescent="0.3">
      <c r="A800">
        <v>22971</v>
      </c>
      <c r="B800" t="s">
        <v>37</v>
      </c>
      <c r="C800" t="s">
        <v>38</v>
      </c>
      <c r="D800" s="1">
        <v>30000</v>
      </c>
      <c r="E800">
        <v>0</v>
      </c>
      <c r="F800" t="s">
        <v>27</v>
      </c>
      <c r="G800" t="s">
        <v>14</v>
      </c>
      <c r="H800" t="s">
        <v>18</v>
      </c>
      <c r="I800">
        <v>2</v>
      </c>
      <c r="J800" t="s">
        <v>16</v>
      </c>
      <c r="K800" t="s">
        <v>32</v>
      </c>
      <c r="L800">
        <v>25</v>
      </c>
      <c r="M800" t="str">
        <f t="shared" si="12"/>
        <v>Adolescence</v>
      </c>
      <c r="N800" t="s">
        <v>15</v>
      </c>
    </row>
    <row r="801" spans="1:14" hidden="1" x14ac:dyDescent="0.3">
      <c r="A801">
        <v>15287</v>
      </c>
      <c r="B801" t="s">
        <v>37</v>
      </c>
      <c r="C801" t="s">
        <v>38</v>
      </c>
      <c r="D801" s="1">
        <v>50000</v>
      </c>
      <c r="E801">
        <v>1</v>
      </c>
      <c r="F801" t="s">
        <v>31</v>
      </c>
      <c r="G801" t="s">
        <v>14</v>
      </c>
      <c r="H801" t="s">
        <v>15</v>
      </c>
      <c r="I801">
        <v>0</v>
      </c>
      <c r="J801" t="s">
        <v>26</v>
      </c>
      <c r="K801" t="s">
        <v>32</v>
      </c>
      <c r="L801">
        <v>33</v>
      </c>
      <c r="M801" t="str">
        <f t="shared" si="12"/>
        <v>Adolescence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Young</v>
      </c>
      <c r="N802" t="s">
        <v>15</v>
      </c>
    </row>
    <row r="803" spans="1:14" hidden="1"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hidden="1" x14ac:dyDescent="0.3">
      <c r="A804">
        <v>28090</v>
      </c>
      <c r="B804" t="s">
        <v>36</v>
      </c>
      <c r="C804" t="s">
        <v>39</v>
      </c>
      <c r="D804" s="1">
        <v>40000</v>
      </c>
      <c r="E804">
        <v>0</v>
      </c>
      <c r="F804" t="s">
        <v>19</v>
      </c>
      <c r="G804" t="s">
        <v>14</v>
      </c>
      <c r="H804" t="s">
        <v>15</v>
      </c>
      <c r="I804">
        <v>1</v>
      </c>
      <c r="J804" t="s">
        <v>23</v>
      </c>
      <c r="K804" t="s">
        <v>32</v>
      </c>
      <c r="L804">
        <v>27</v>
      </c>
      <c r="M804" t="str">
        <f t="shared" si="12"/>
        <v>Adolescence</v>
      </c>
      <c r="N804" t="s">
        <v>18</v>
      </c>
    </row>
    <row r="805" spans="1:14" hidden="1" x14ac:dyDescent="0.3">
      <c r="A805">
        <v>15255</v>
      </c>
      <c r="B805" t="s">
        <v>36</v>
      </c>
      <c r="C805" t="s">
        <v>39</v>
      </c>
      <c r="D805" s="1">
        <v>40000</v>
      </c>
      <c r="E805">
        <v>0</v>
      </c>
      <c r="F805" t="s">
        <v>27</v>
      </c>
      <c r="G805" t="s">
        <v>14</v>
      </c>
      <c r="H805" t="s">
        <v>15</v>
      </c>
      <c r="I805">
        <v>2</v>
      </c>
      <c r="J805" t="s">
        <v>23</v>
      </c>
      <c r="K805" t="s">
        <v>32</v>
      </c>
      <c r="L805">
        <v>28</v>
      </c>
      <c r="M805" t="str">
        <f t="shared" si="12"/>
        <v>Adolescence</v>
      </c>
      <c r="N805" t="s">
        <v>15</v>
      </c>
    </row>
    <row r="806" spans="1:14" hidden="1" x14ac:dyDescent="0.3">
      <c r="A806">
        <v>13154</v>
      </c>
      <c r="B806" t="s">
        <v>36</v>
      </c>
      <c r="C806" t="s">
        <v>39</v>
      </c>
      <c r="D806" s="1">
        <v>40000</v>
      </c>
      <c r="E806">
        <v>0</v>
      </c>
      <c r="F806" t="s">
        <v>27</v>
      </c>
      <c r="G806" t="s">
        <v>14</v>
      </c>
      <c r="H806" t="s">
        <v>18</v>
      </c>
      <c r="I806">
        <v>2</v>
      </c>
      <c r="J806" t="s">
        <v>16</v>
      </c>
      <c r="K806" t="s">
        <v>32</v>
      </c>
      <c r="L806">
        <v>27</v>
      </c>
      <c r="M806" t="str">
        <f t="shared" si="12"/>
        <v>Adolescence</v>
      </c>
      <c r="N806" t="s">
        <v>15</v>
      </c>
    </row>
    <row r="807" spans="1:14" hidden="1" x14ac:dyDescent="0.3">
      <c r="A807">
        <v>26778</v>
      </c>
      <c r="B807" t="s">
        <v>37</v>
      </c>
      <c r="C807" t="s">
        <v>38</v>
      </c>
      <c r="D807" s="1">
        <v>40000</v>
      </c>
      <c r="E807">
        <v>0</v>
      </c>
      <c r="F807" t="s">
        <v>27</v>
      </c>
      <c r="G807" t="s">
        <v>14</v>
      </c>
      <c r="H807" t="s">
        <v>15</v>
      </c>
      <c r="I807">
        <v>2</v>
      </c>
      <c r="J807" t="s">
        <v>23</v>
      </c>
      <c r="K807" t="s">
        <v>32</v>
      </c>
      <c r="L807">
        <v>31</v>
      </c>
      <c r="M807" t="str">
        <f t="shared" si="12"/>
        <v>Adolescence</v>
      </c>
      <c r="N807" t="s">
        <v>18</v>
      </c>
    </row>
    <row r="808" spans="1:14" hidden="1"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hidden="1" x14ac:dyDescent="0.3">
      <c r="A809">
        <v>21417</v>
      </c>
      <c r="B809" t="s">
        <v>37</v>
      </c>
      <c r="C809" t="s">
        <v>38</v>
      </c>
      <c r="D809" s="1">
        <v>60000</v>
      </c>
      <c r="E809">
        <v>0</v>
      </c>
      <c r="F809" t="s">
        <v>19</v>
      </c>
      <c r="G809" t="s">
        <v>21</v>
      </c>
      <c r="H809" t="s">
        <v>18</v>
      </c>
      <c r="I809">
        <v>2</v>
      </c>
      <c r="J809" t="s">
        <v>26</v>
      </c>
      <c r="K809" t="s">
        <v>32</v>
      </c>
      <c r="L809">
        <v>32</v>
      </c>
      <c r="M809" t="str">
        <f t="shared" si="12"/>
        <v>Adolescence</v>
      </c>
      <c r="N809" t="s">
        <v>15</v>
      </c>
    </row>
    <row r="810" spans="1:14" hidden="1"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hidden="1"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hidden="1"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hidden="1" x14ac:dyDescent="0.3">
      <c r="A813">
        <v>25954</v>
      </c>
      <c r="B813" t="s">
        <v>36</v>
      </c>
      <c r="C813" t="s">
        <v>39</v>
      </c>
      <c r="D813" s="1">
        <v>60000</v>
      </c>
      <c r="E813">
        <v>0</v>
      </c>
      <c r="F813" t="s">
        <v>19</v>
      </c>
      <c r="G813" t="s">
        <v>14</v>
      </c>
      <c r="H813" t="s">
        <v>18</v>
      </c>
      <c r="I813">
        <v>2</v>
      </c>
      <c r="J813" t="s">
        <v>26</v>
      </c>
      <c r="K813" t="s">
        <v>32</v>
      </c>
      <c r="L813">
        <v>31</v>
      </c>
      <c r="M813" t="str">
        <f t="shared" si="12"/>
        <v>Adolescence</v>
      </c>
      <c r="N813" t="s">
        <v>18</v>
      </c>
    </row>
    <row r="814" spans="1:14" hidden="1" x14ac:dyDescent="0.3">
      <c r="A814">
        <v>15749</v>
      </c>
      <c r="B814" t="s">
        <v>37</v>
      </c>
      <c r="C814" t="s">
        <v>38</v>
      </c>
      <c r="D814" s="1">
        <v>70000</v>
      </c>
      <c r="E814">
        <v>4</v>
      </c>
      <c r="F814" t="s">
        <v>13</v>
      </c>
      <c r="G814" t="s">
        <v>28</v>
      </c>
      <c r="H814" t="s">
        <v>15</v>
      </c>
      <c r="I814">
        <v>2</v>
      </c>
      <c r="J814" t="s">
        <v>30</v>
      </c>
      <c r="K814" t="s">
        <v>32</v>
      </c>
      <c r="L814">
        <v>61</v>
      </c>
      <c r="M814" t="str">
        <f t="shared" si="12"/>
        <v>Middle Age</v>
      </c>
      <c r="N814" t="s">
        <v>18</v>
      </c>
    </row>
    <row r="815" spans="1:14" hidden="1" x14ac:dyDescent="0.3">
      <c r="A815">
        <v>25899</v>
      </c>
      <c r="B815" t="s">
        <v>36</v>
      </c>
      <c r="C815" t="s">
        <v>38</v>
      </c>
      <c r="D815" s="1">
        <v>70000</v>
      </c>
      <c r="E815">
        <v>2</v>
      </c>
      <c r="F815" t="s">
        <v>27</v>
      </c>
      <c r="G815" t="s">
        <v>21</v>
      </c>
      <c r="H815" t="s">
        <v>15</v>
      </c>
      <c r="I815">
        <v>2</v>
      </c>
      <c r="J815" t="s">
        <v>30</v>
      </c>
      <c r="K815" t="s">
        <v>32</v>
      </c>
      <c r="L815">
        <v>53</v>
      </c>
      <c r="M815" t="str">
        <f t="shared" si="12"/>
        <v>Middle Age</v>
      </c>
      <c r="N815" t="s">
        <v>18</v>
      </c>
    </row>
    <row r="816" spans="1:14" hidden="1" x14ac:dyDescent="0.3">
      <c r="A816">
        <v>13351</v>
      </c>
      <c r="B816" t="s">
        <v>37</v>
      </c>
      <c r="C816" t="s">
        <v>38</v>
      </c>
      <c r="D816" s="1">
        <v>70000</v>
      </c>
      <c r="E816">
        <v>4</v>
      </c>
      <c r="F816" t="s">
        <v>13</v>
      </c>
      <c r="G816" t="s">
        <v>28</v>
      </c>
      <c r="H816" t="s">
        <v>15</v>
      </c>
      <c r="I816">
        <v>2</v>
      </c>
      <c r="J816" t="s">
        <v>26</v>
      </c>
      <c r="K816" t="s">
        <v>32</v>
      </c>
      <c r="L816">
        <v>62</v>
      </c>
      <c r="M816" t="str">
        <f t="shared" si="12"/>
        <v>Middle Age</v>
      </c>
      <c r="N816" t="s">
        <v>15</v>
      </c>
    </row>
    <row r="817" spans="1:14" hidden="1" x14ac:dyDescent="0.3">
      <c r="A817">
        <v>23333</v>
      </c>
      <c r="B817" t="s">
        <v>36</v>
      </c>
      <c r="C817" t="s">
        <v>39</v>
      </c>
      <c r="D817" s="1">
        <v>40000</v>
      </c>
      <c r="E817">
        <v>0</v>
      </c>
      <c r="F817" t="s">
        <v>19</v>
      </c>
      <c r="G817" t="s">
        <v>14</v>
      </c>
      <c r="H817" t="s">
        <v>18</v>
      </c>
      <c r="I817">
        <v>2</v>
      </c>
      <c r="J817" t="s">
        <v>26</v>
      </c>
      <c r="K817" t="s">
        <v>32</v>
      </c>
      <c r="L817">
        <v>30</v>
      </c>
      <c r="M817" t="str">
        <f t="shared" si="12"/>
        <v>Adolescence</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Young</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Young</v>
      </c>
      <c r="N819" t="s">
        <v>15</v>
      </c>
    </row>
    <row r="820" spans="1:14" hidden="1" x14ac:dyDescent="0.3">
      <c r="A820">
        <v>24514</v>
      </c>
      <c r="B820" t="s">
        <v>36</v>
      </c>
      <c r="C820" t="s">
        <v>39</v>
      </c>
      <c r="D820" s="1">
        <v>40000</v>
      </c>
      <c r="E820">
        <v>0</v>
      </c>
      <c r="F820" t="s">
        <v>19</v>
      </c>
      <c r="G820" t="s">
        <v>14</v>
      </c>
      <c r="H820" t="s">
        <v>15</v>
      </c>
      <c r="I820">
        <v>1</v>
      </c>
      <c r="J820" t="s">
        <v>23</v>
      </c>
      <c r="K820" t="s">
        <v>32</v>
      </c>
      <c r="L820">
        <v>30</v>
      </c>
      <c r="M820" t="str">
        <f t="shared" si="12"/>
        <v>Adolescence</v>
      </c>
      <c r="N820" t="s">
        <v>18</v>
      </c>
    </row>
    <row r="821" spans="1:14" hidden="1" x14ac:dyDescent="0.3">
      <c r="A821">
        <v>27505</v>
      </c>
      <c r="B821" t="s">
        <v>37</v>
      </c>
      <c r="C821" t="s">
        <v>38</v>
      </c>
      <c r="D821" s="1">
        <v>40000</v>
      </c>
      <c r="E821">
        <v>0</v>
      </c>
      <c r="F821" t="s">
        <v>27</v>
      </c>
      <c r="G821" t="s">
        <v>14</v>
      </c>
      <c r="H821" t="s">
        <v>15</v>
      </c>
      <c r="I821">
        <v>2</v>
      </c>
      <c r="J821" t="s">
        <v>23</v>
      </c>
      <c r="K821" t="s">
        <v>32</v>
      </c>
      <c r="L821">
        <v>30</v>
      </c>
      <c r="M821" t="str">
        <f t="shared" si="12"/>
        <v>Adolescence</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Young</v>
      </c>
      <c r="N822" t="s">
        <v>18</v>
      </c>
    </row>
    <row r="823" spans="1:14" hidden="1" x14ac:dyDescent="0.3">
      <c r="A823">
        <v>26582</v>
      </c>
      <c r="B823" t="s">
        <v>36</v>
      </c>
      <c r="C823" t="s">
        <v>39</v>
      </c>
      <c r="D823" s="1">
        <v>60000</v>
      </c>
      <c r="E823">
        <v>0</v>
      </c>
      <c r="F823" t="s">
        <v>19</v>
      </c>
      <c r="G823" t="s">
        <v>14</v>
      </c>
      <c r="H823" t="s">
        <v>15</v>
      </c>
      <c r="I823">
        <v>2</v>
      </c>
      <c r="J823" t="s">
        <v>23</v>
      </c>
      <c r="K823" t="s">
        <v>32</v>
      </c>
      <c r="L823">
        <v>33</v>
      </c>
      <c r="M823" t="str">
        <f t="shared" si="12"/>
        <v>Adolescence</v>
      </c>
      <c r="N823" t="s">
        <v>15</v>
      </c>
    </row>
    <row r="824" spans="1:14" hidden="1" x14ac:dyDescent="0.3">
      <c r="A824">
        <v>14271</v>
      </c>
      <c r="B824" t="s">
        <v>36</v>
      </c>
      <c r="C824" t="s">
        <v>39</v>
      </c>
      <c r="D824" s="1">
        <v>30000</v>
      </c>
      <c r="E824">
        <v>0</v>
      </c>
      <c r="F824" t="s">
        <v>27</v>
      </c>
      <c r="G824" t="s">
        <v>14</v>
      </c>
      <c r="H824" t="s">
        <v>15</v>
      </c>
      <c r="I824">
        <v>2</v>
      </c>
      <c r="J824" t="s">
        <v>23</v>
      </c>
      <c r="K824" t="s">
        <v>32</v>
      </c>
      <c r="L824">
        <v>32</v>
      </c>
      <c r="M824" t="str">
        <f t="shared" si="12"/>
        <v>Adolescence</v>
      </c>
      <c r="N824" t="s">
        <v>18</v>
      </c>
    </row>
    <row r="825" spans="1:14" hidden="1"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Young</v>
      </c>
      <c r="N826" t="s">
        <v>15</v>
      </c>
    </row>
    <row r="827" spans="1:14" hidden="1"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Young</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Young</v>
      </c>
      <c r="N829" t="s">
        <v>15</v>
      </c>
    </row>
    <row r="830" spans="1:14" hidden="1" x14ac:dyDescent="0.3">
      <c r="A830">
        <v>20421</v>
      </c>
      <c r="B830" t="s">
        <v>37</v>
      </c>
      <c r="C830" t="s">
        <v>38</v>
      </c>
      <c r="D830" s="1">
        <v>40000</v>
      </c>
      <c r="E830">
        <v>0</v>
      </c>
      <c r="F830" t="s">
        <v>29</v>
      </c>
      <c r="G830" t="s">
        <v>20</v>
      </c>
      <c r="H830" t="s">
        <v>15</v>
      </c>
      <c r="I830">
        <v>2</v>
      </c>
      <c r="J830" t="s">
        <v>23</v>
      </c>
      <c r="K830" t="s">
        <v>32</v>
      </c>
      <c r="L830">
        <v>26</v>
      </c>
      <c r="M830" t="str">
        <f t="shared" si="12"/>
        <v>Adolescence</v>
      </c>
      <c r="N830" t="s">
        <v>18</v>
      </c>
    </row>
    <row r="831" spans="1:14" hidden="1"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hidden="1"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Young</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Young</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IF(L835&gt;=65, "Old", IF(L835&gt;=45, "Middle Age", IF(L835&gt;=35, "Young", IF(L835&gt;=25, "Adolescence", "Invalid"))))</f>
        <v>Young</v>
      </c>
      <c r="N835" t="s">
        <v>15</v>
      </c>
    </row>
    <row r="836" spans="1:14" hidden="1" x14ac:dyDescent="0.3">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Young</v>
      </c>
      <c r="N837" t="s">
        <v>15</v>
      </c>
    </row>
    <row r="838" spans="1:14" hidden="1" x14ac:dyDescent="0.3">
      <c r="A838">
        <v>18891</v>
      </c>
      <c r="B838" t="s">
        <v>36</v>
      </c>
      <c r="C838" t="s">
        <v>38</v>
      </c>
      <c r="D838" s="1">
        <v>40000</v>
      </c>
      <c r="E838">
        <v>0</v>
      </c>
      <c r="F838" t="s">
        <v>19</v>
      </c>
      <c r="G838" t="s">
        <v>14</v>
      </c>
      <c r="H838" t="s">
        <v>15</v>
      </c>
      <c r="I838">
        <v>2</v>
      </c>
      <c r="J838" t="s">
        <v>23</v>
      </c>
      <c r="K838" t="s">
        <v>32</v>
      </c>
      <c r="L838">
        <v>28</v>
      </c>
      <c r="M838" t="str">
        <f t="shared" si="13"/>
        <v>Adolescence</v>
      </c>
      <c r="N838" t="s">
        <v>18</v>
      </c>
    </row>
    <row r="839" spans="1:14" hidden="1" x14ac:dyDescent="0.3">
      <c r="A839">
        <v>16773</v>
      </c>
      <c r="B839" t="s">
        <v>36</v>
      </c>
      <c r="C839" t="s">
        <v>39</v>
      </c>
      <c r="D839" s="1">
        <v>60000</v>
      </c>
      <c r="E839">
        <v>1</v>
      </c>
      <c r="F839" t="s">
        <v>31</v>
      </c>
      <c r="G839" t="s">
        <v>14</v>
      </c>
      <c r="H839" t="s">
        <v>15</v>
      </c>
      <c r="I839">
        <v>0</v>
      </c>
      <c r="J839" t="s">
        <v>16</v>
      </c>
      <c r="K839" t="s">
        <v>32</v>
      </c>
      <c r="L839">
        <v>33</v>
      </c>
      <c r="M839" t="str">
        <f t="shared" si="13"/>
        <v>Adolescence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Young</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Young</v>
      </c>
      <c r="N841" t="s">
        <v>15</v>
      </c>
    </row>
    <row r="842" spans="1:14" hidden="1" x14ac:dyDescent="0.3">
      <c r="A842">
        <v>11233</v>
      </c>
      <c r="B842" t="s">
        <v>36</v>
      </c>
      <c r="C842" t="s">
        <v>39</v>
      </c>
      <c r="D842" s="1">
        <v>70000</v>
      </c>
      <c r="E842">
        <v>4</v>
      </c>
      <c r="F842" t="s">
        <v>19</v>
      </c>
      <c r="G842" t="s">
        <v>21</v>
      </c>
      <c r="H842" t="s">
        <v>15</v>
      </c>
      <c r="I842">
        <v>2</v>
      </c>
      <c r="J842" t="s">
        <v>30</v>
      </c>
      <c r="K842" t="s">
        <v>32</v>
      </c>
      <c r="L842">
        <v>53</v>
      </c>
      <c r="M842" t="str">
        <f t="shared" si="13"/>
        <v>Middle Age</v>
      </c>
      <c r="N842" t="s">
        <v>18</v>
      </c>
    </row>
    <row r="843" spans="1:14" hidden="1" x14ac:dyDescent="0.3">
      <c r="A843">
        <v>12056</v>
      </c>
      <c r="B843" t="s">
        <v>36</v>
      </c>
      <c r="C843" t="s">
        <v>39</v>
      </c>
      <c r="D843" s="1">
        <v>120000</v>
      </c>
      <c r="E843">
        <v>2</v>
      </c>
      <c r="F843" t="s">
        <v>31</v>
      </c>
      <c r="G843" t="s">
        <v>28</v>
      </c>
      <c r="H843" t="s">
        <v>15</v>
      </c>
      <c r="I843">
        <v>3</v>
      </c>
      <c r="J843" t="s">
        <v>23</v>
      </c>
      <c r="K843" t="s">
        <v>32</v>
      </c>
      <c r="L843">
        <v>64</v>
      </c>
      <c r="M843" t="str">
        <f t="shared" si="13"/>
        <v>Middle Age</v>
      </c>
      <c r="N843" t="s">
        <v>18</v>
      </c>
    </row>
    <row r="844" spans="1:14" hidden="1"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hidden="1"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hidden="1" x14ac:dyDescent="0.3">
      <c r="A846">
        <v>22743</v>
      </c>
      <c r="B846" t="s">
        <v>36</v>
      </c>
      <c r="C846" t="s">
        <v>38</v>
      </c>
      <c r="D846" s="1">
        <v>40000</v>
      </c>
      <c r="E846">
        <v>5</v>
      </c>
      <c r="F846" t="s">
        <v>27</v>
      </c>
      <c r="G846" t="s">
        <v>21</v>
      </c>
      <c r="H846" t="s">
        <v>15</v>
      </c>
      <c r="I846">
        <v>2</v>
      </c>
      <c r="J846" t="s">
        <v>30</v>
      </c>
      <c r="K846" t="s">
        <v>32</v>
      </c>
      <c r="L846">
        <v>60</v>
      </c>
      <c r="M846" t="str">
        <f t="shared" si="13"/>
        <v>Middle Age</v>
      </c>
      <c r="N846" t="s">
        <v>18</v>
      </c>
    </row>
    <row r="847" spans="1:14" hidden="1"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hidden="1" x14ac:dyDescent="0.3">
      <c r="A848">
        <v>13390</v>
      </c>
      <c r="B848" t="s">
        <v>36</v>
      </c>
      <c r="C848" t="s">
        <v>38</v>
      </c>
      <c r="D848" s="1">
        <v>70000</v>
      </c>
      <c r="E848">
        <v>4</v>
      </c>
      <c r="F848" t="s">
        <v>19</v>
      </c>
      <c r="G848" t="s">
        <v>21</v>
      </c>
      <c r="H848" t="s">
        <v>18</v>
      </c>
      <c r="I848">
        <v>1</v>
      </c>
      <c r="J848" t="s">
        <v>26</v>
      </c>
      <c r="K848" t="s">
        <v>32</v>
      </c>
      <c r="L848">
        <v>56</v>
      </c>
      <c r="M848" t="str">
        <f t="shared" si="13"/>
        <v>Middle Age</v>
      </c>
      <c r="N848" t="s">
        <v>18</v>
      </c>
    </row>
    <row r="849" spans="1:14" hidden="1" x14ac:dyDescent="0.3">
      <c r="A849">
        <v>17482</v>
      </c>
      <c r="B849" t="s">
        <v>37</v>
      </c>
      <c r="C849" t="s">
        <v>38</v>
      </c>
      <c r="D849" s="1">
        <v>40000</v>
      </c>
      <c r="E849">
        <v>0</v>
      </c>
      <c r="F849" t="s">
        <v>29</v>
      </c>
      <c r="G849" t="s">
        <v>20</v>
      </c>
      <c r="H849" t="s">
        <v>15</v>
      </c>
      <c r="I849">
        <v>2</v>
      </c>
      <c r="J849" t="s">
        <v>23</v>
      </c>
      <c r="K849" t="s">
        <v>32</v>
      </c>
      <c r="L849">
        <v>29</v>
      </c>
      <c r="M849" t="str">
        <f t="shared" si="13"/>
        <v>Adolescence</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Young</v>
      </c>
      <c r="N850" t="s">
        <v>15</v>
      </c>
    </row>
    <row r="851" spans="1:14" hidden="1" x14ac:dyDescent="0.3">
      <c r="A851">
        <v>20504</v>
      </c>
      <c r="B851" t="s">
        <v>36</v>
      </c>
      <c r="C851" t="s">
        <v>38</v>
      </c>
      <c r="D851" s="1">
        <v>40000</v>
      </c>
      <c r="E851">
        <v>5</v>
      </c>
      <c r="F851" t="s">
        <v>27</v>
      </c>
      <c r="G851" t="s">
        <v>21</v>
      </c>
      <c r="H851" t="s">
        <v>18</v>
      </c>
      <c r="I851">
        <v>2</v>
      </c>
      <c r="J851" t="s">
        <v>22</v>
      </c>
      <c r="K851" t="s">
        <v>32</v>
      </c>
      <c r="L851">
        <v>60</v>
      </c>
      <c r="M851" t="str">
        <f t="shared" si="13"/>
        <v>Middle Age</v>
      </c>
      <c r="N851" t="s">
        <v>18</v>
      </c>
    </row>
    <row r="852" spans="1:14" hidden="1"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hidden="1" x14ac:dyDescent="0.3">
      <c r="A853">
        <v>16751</v>
      </c>
      <c r="B853" t="s">
        <v>36</v>
      </c>
      <c r="C853" t="s">
        <v>39</v>
      </c>
      <c r="D853" s="1">
        <v>60000</v>
      </c>
      <c r="E853">
        <v>0</v>
      </c>
      <c r="F853" t="s">
        <v>19</v>
      </c>
      <c r="G853" t="s">
        <v>14</v>
      </c>
      <c r="H853" t="s">
        <v>15</v>
      </c>
      <c r="I853">
        <v>1</v>
      </c>
      <c r="J853" t="s">
        <v>23</v>
      </c>
      <c r="K853" t="s">
        <v>32</v>
      </c>
      <c r="L853">
        <v>32</v>
      </c>
      <c r="M853" t="str">
        <f t="shared" si="13"/>
        <v>Adolescence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Young</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Young</v>
      </c>
      <c r="N855" t="s">
        <v>15</v>
      </c>
    </row>
    <row r="856" spans="1:14" hidden="1" x14ac:dyDescent="0.3">
      <c r="A856">
        <v>17519</v>
      </c>
      <c r="B856" t="s">
        <v>36</v>
      </c>
      <c r="C856" t="s">
        <v>38</v>
      </c>
      <c r="D856" s="1">
        <v>60000</v>
      </c>
      <c r="E856">
        <v>0</v>
      </c>
      <c r="F856" t="s">
        <v>19</v>
      </c>
      <c r="G856" t="s">
        <v>21</v>
      </c>
      <c r="H856" t="s">
        <v>15</v>
      </c>
      <c r="I856">
        <v>2</v>
      </c>
      <c r="J856" t="s">
        <v>23</v>
      </c>
      <c r="K856" t="s">
        <v>32</v>
      </c>
      <c r="L856">
        <v>32</v>
      </c>
      <c r="M856" t="str">
        <f t="shared" si="13"/>
        <v>Adolescence</v>
      </c>
      <c r="N856" t="s">
        <v>18</v>
      </c>
    </row>
    <row r="857" spans="1:14" hidden="1" x14ac:dyDescent="0.3">
      <c r="A857">
        <v>18347</v>
      </c>
      <c r="B857" t="s">
        <v>37</v>
      </c>
      <c r="C857" t="s">
        <v>38</v>
      </c>
      <c r="D857" s="1">
        <v>30000</v>
      </c>
      <c r="E857">
        <v>0</v>
      </c>
      <c r="F857" t="s">
        <v>19</v>
      </c>
      <c r="G857" t="s">
        <v>14</v>
      </c>
      <c r="H857" t="s">
        <v>18</v>
      </c>
      <c r="I857">
        <v>1</v>
      </c>
      <c r="J857" t="s">
        <v>26</v>
      </c>
      <c r="K857" t="s">
        <v>32</v>
      </c>
      <c r="L857">
        <v>31</v>
      </c>
      <c r="M857" t="str">
        <f t="shared" si="13"/>
        <v>Adolescence</v>
      </c>
      <c r="N857" t="s">
        <v>18</v>
      </c>
    </row>
    <row r="858" spans="1:14" hidden="1" x14ac:dyDescent="0.3">
      <c r="A858">
        <v>29052</v>
      </c>
      <c r="B858" t="s">
        <v>37</v>
      </c>
      <c r="C858" t="s">
        <v>39</v>
      </c>
      <c r="D858" s="1">
        <v>40000</v>
      </c>
      <c r="E858">
        <v>0</v>
      </c>
      <c r="F858" t="s">
        <v>19</v>
      </c>
      <c r="G858" t="s">
        <v>14</v>
      </c>
      <c r="H858" t="s">
        <v>15</v>
      </c>
      <c r="I858">
        <v>1</v>
      </c>
      <c r="J858" t="s">
        <v>23</v>
      </c>
      <c r="K858" t="s">
        <v>32</v>
      </c>
      <c r="L858">
        <v>27</v>
      </c>
      <c r="M858" t="str">
        <f t="shared" si="13"/>
        <v>Adolescence</v>
      </c>
      <c r="N858" t="s">
        <v>18</v>
      </c>
    </row>
    <row r="859" spans="1:14" hidden="1"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Young</v>
      </c>
      <c r="N860" t="s">
        <v>18</v>
      </c>
    </row>
    <row r="861" spans="1:14" hidden="1"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hidden="1" x14ac:dyDescent="0.3">
      <c r="A862">
        <v>15839</v>
      </c>
      <c r="B862" t="s">
        <v>37</v>
      </c>
      <c r="C862" t="s">
        <v>39</v>
      </c>
      <c r="D862" s="1">
        <v>30000</v>
      </c>
      <c r="E862">
        <v>0</v>
      </c>
      <c r="F862" t="s">
        <v>19</v>
      </c>
      <c r="G862" t="s">
        <v>14</v>
      </c>
      <c r="H862" t="s">
        <v>15</v>
      </c>
      <c r="I862">
        <v>1</v>
      </c>
      <c r="J862" t="s">
        <v>23</v>
      </c>
      <c r="K862" t="s">
        <v>32</v>
      </c>
      <c r="L862">
        <v>32</v>
      </c>
      <c r="M862" t="str">
        <f t="shared" si="13"/>
        <v>Adolescence</v>
      </c>
      <c r="N862" t="s">
        <v>18</v>
      </c>
    </row>
    <row r="863" spans="1:14" hidden="1"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hidden="1" x14ac:dyDescent="0.3">
      <c r="A864">
        <v>22330</v>
      </c>
      <c r="B864" t="s">
        <v>36</v>
      </c>
      <c r="C864" t="s">
        <v>39</v>
      </c>
      <c r="D864" s="1">
        <v>50000</v>
      </c>
      <c r="E864">
        <v>0</v>
      </c>
      <c r="F864" t="s">
        <v>31</v>
      </c>
      <c r="G864" t="s">
        <v>14</v>
      </c>
      <c r="H864" t="s">
        <v>15</v>
      </c>
      <c r="I864">
        <v>0</v>
      </c>
      <c r="J864" t="s">
        <v>26</v>
      </c>
      <c r="K864" t="s">
        <v>32</v>
      </c>
      <c r="L864">
        <v>32</v>
      </c>
      <c r="M864" t="str">
        <f t="shared" si="13"/>
        <v>Adolescence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Young</v>
      </c>
      <c r="N865" t="s">
        <v>15</v>
      </c>
    </row>
    <row r="866" spans="1:14" hidden="1" x14ac:dyDescent="0.3">
      <c r="A866">
        <v>25041</v>
      </c>
      <c r="B866" t="s">
        <v>37</v>
      </c>
      <c r="C866" t="s">
        <v>39</v>
      </c>
      <c r="D866" s="1">
        <v>40000</v>
      </c>
      <c r="E866">
        <v>0</v>
      </c>
      <c r="F866" t="s">
        <v>27</v>
      </c>
      <c r="G866" t="s">
        <v>14</v>
      </c>
      <c r="H866" t="s">
        <v>15</v>
      </c>
      <c r="I866">
        <v>2</v>
      </c>
      <c r="J866" t="s">
        <v>23</v>
      </c>
      <c r="K866" t="s">
        <v>32</v>
      </c>
      <c r="L866">
        <v>31</v>
      </c>
      <c r="M866" t="str">
        <f t="shared" si="13"/>
        <v>Adolescence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Young</v>
      </c>
      <c r="N867" t="s">
        <v>15</v>
      </c>
    </row>
    <row r="868" spans="1:14" hidden="1" x14ac:dyDescent="0.3">
      <c r="A868">
        <v>28052</v>
      </c>
      <c r="B868" t="s">
        <v>36</v>
      </c>
      <c r="C868" t="s">
        <v>39</v>
      </c>
      <c r="D868" s="1">
        <v>60000</v>
      </c>
      <c r="E868">
        <v>2</v>
      </c>
      <c r="F868" t="s">
        <v>27</v>
      </c>
      <c r="G868" t="s">
        <v>21</v>
      </c>
      <c r="H868" t="s">
        <v>15</v>
      </c>
      <c r="I868">
        <v>2</v>
      </c>
      <c r="J868" t="s">
        <v>30</v>
      </c>
      <c r="K868" t="s">
        <v>32</v>
      </c>
      <c r="L868">
        <v>55</v>
      </c>
      <c r="M868" t="str">
        <f t="shared" si="13"/>
        <v>Middle Age</v>
      </c>
      <c r="N868" t="s">
        <v>18</v>
      </c>
    </row>
    <row r="869" spans="1:14" hidden="1"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hidden="1" x14ac:dyDescent="0.3">
      <c r="A870">
        <v>24955</v>
      </c>
      <c r="B870" t="s">
        <v>37</v>
      </c>
      <c r="C870" t="s">
        <v>39</v>
      </c>
      <c r="D870" s="1">
        <v>30000</v>
      </c>
      <c r="E870">
        <v>5</v>
      </c>
      <c r="F870" t="s">
        <v>29</v>
      </c>
      <c r="G870" t="s">
        <v>14</v>
      </c>
      <c r="H870" t="s">
        <v>15</v>
      </c>
      <c r="I870">
        <v>3</v>
      </c>
      <c r="J870" t="s">
        <v>30</v>
      </c>
      <c r="K870" t="s">
        <v>32</v>
      </c>
      <c r="L870">
        <v>60</v>
      </c>
      <c r="M870" t="str">
        <f t="shared" si="13"/>
        <v>Middle Age</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Young</v>
      </c>
      <c r="N871" t="s">
        <v>18</v>
      </c>
    </row>
    <row r="872" spans="1:14" hidden="1"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hidden="1" x14ac:dyDescent="0.3">
      <c r="A873">
        <v>11219</v>
      </c>
      <c r="B873" t="s">
        <v>36</v>
      </c>
      <c r="C873" t="s">
        <v>39</v>
      </c>
      <c r="D873" s="1">
        <v>60000</v>
      </c>
      <c r="E873">
        <v>2</v>
      </c>
      <c r="F873" t="s">
        <v>27</v>
      </c>
      <c r="G873" t="s">
        <v>21</v>
      </c>
      <c r="H873" t="s">
        <v>15</v>
      </c>
      <c r="I873">
        <v>2</v>
      </c>
      <c r="J873" t="s">
        <v>30</v>
      </c>
      <c r="K873" t="s">
        <v>32</v>
      </c>
      <c r="L873">
        <v>55</v>
      </c>
      <c r="M873" t="str">
        <f t="shared" si="13"/>
        <v>Middle Age</v>
      </c>
      <c r="N873" t="s">
        <v>18</v>
      </c>
    </row>
    <row r="874" spans="1:14" hidden="1"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Young</v>
      </c>
      <c r="N875" t="s">
        <v>18</v>
      </c>
    </row>
    <row r="876" spans="1:14" hidden="1"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Young</v>
      </c>
      <c r="N877" t="s">
        <v>15</v>
      </c>
    </row>
    <row r="878" spans="1:14" hidden="1" x14ac:dyDescent="0.3">
      <c r="A878">
        <v>18322</v>
      </c>
      <c r="B878" t="s">
        <v>37</v>
      </c>
      <c r="C878" t="s">
        <v>39</v>
      </c>
      <c r="D878" s="1">
        <v>30000</v>
      </c>
      <c r="E878">
        <v>0</v>
      </c>
      <c r="F878" t="s">
        <v>29</v>
      </c>
      <c r="G878" t="s">
        <v>20</v>
      </c>
      <c r="H878" t="s">
        <v>18</v>
      </c>
      <c r="I878">
        <v>2</v>
      </c>
      <c r="J878" t="s">
        <v>16</v>
      </c>
      <c r="K878" t="s">
        <v>32</v>
      </c>
      <c r="L878">
        <v>26</v>
      </c>
      <c r="M878" t="str">
        <f t="shared" si="13"/>
        <v>Adolescence</v>
      </c>
      <c r="N878" t="s">
        <v>18</v>
      </c>
    </row>
    <row r="879" spans="1:14" hidden="1" x14ac:dyDescent="0.3">
      <c r="A879">
        <v>15879</v>
      </c>
      <c r="B879" t="s">
        <v>36</v>
      </c>
      <c r="C879" t="s">
        <v>39</v>
      </c>
      <c r="D879" s="1">
        <v>70000</v>
      </c>
      <c r="E879">
        <v>5</v>
      </c>
      <c r="F879" t="s">
        <v>13</v>
      </c>
      <c r="G879" t="s">
        <v>28</v>
      </c>
      <c r="H879" t="s">
        <v>15</v>
      </c>
      <c r="I879">
        <v>2</v>
      </c>
      <c r="J879" t="s">
        <v>22</v>
      </c>
      <c r="K879" t="s">
        <v>32</v>
      </c>
      <c r="L879">
        <v>61</v>
      </c>
      <c r="M879" t="str">
        <f t="shared" si="13"/>
        <v>Middle Age</v>
      </c>
      <c r="N879" t="s">
        <v>18</v>
      </c>
    </row>
    <row r="880" spans="1:14" hidden="1"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hidden="1"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Young</v>
      </c>
      <c r="N882" t="s">
        <v>15</v>
      </c>
    </row>
    <row r="883" spans="1:14" hidden="1"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hidden="1" x14ac:dyDescent="0.3">
      <c r="A884">
        <v>14872</v>
      </c>
      <c r="B884" t="s">
        <v>36</v>
      </c>
      <c r="C884" t="s">
        <v>39</v>
      </c>
      <c r="D884" s="1">
        <v>30000</v>
      </c>
      <c r="E884">
        <v>0</v>
      </c>
      <c r="F884" t="s">
        <v>31</v>
      </c>
      <c r="G884" t="s">
        <v>14</v>
      </c>
      <c r="H884" t="s">
        <v>15</v>
      </c>
      <c r="I884">
        <v>0</v>
      </c>
      <c r="J884" t="s">
        <v>16</v>
      </c>
      <c r="K884" t="s">
        <v>32</v>
      </c>
      <c r="L884">
        <v>32</v>
      </c>
      <c r="M884" t="str">
        <f t="shared" si="13"/>
        <v>Adolescence</v>
      </c>
      <c r="N884" t="s">
        <v>18</v>
      </c>
    </row>
    <row r="885" spans="1:14" hidden="1"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hidden="1"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hidden="1"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hidden="1" x14ac:dyDescent="0.3">
      <c r="A888">
        <v>11807</v>
      </c>
      <c r="B888" t="s">
        <v>36</v>
      </c>
      <c r="C888" t="s">
        <v>39</v>
      </c>
      <c r="D888" s="1">
        <v>70000</v>
      </c>
      <c r="E888">
        <v>3</v>
      </c>
      <c r="F888" t="s">
        <v>31</v>
      </c>
      <c r="G888" t="s">
        <v>21</v>
      </c>
      <c r="H888" t="s">
        <v>15</v>
      </c>
      <c r="I888">
        <v>0</v>
      </c>
      <c r="J888" t="s">
        <v>22</v>
      </c>
      <c r="K888" t="s">
        <v>32</v>
      </c>
      <c r="L888">
        <v>34</v>
      </c>
      <c r="M888" t="str">
        <f t="shared" si="13"/>
        <v>Adolescence</v>
      </c>
      <c r="N888" t="s">
        <v>18</v>
      </c>
    </row>
    <row r="889" spans="1:14" hidden="1" x14ac:dyDescent="0.3">
      <c r="A889">
        <v>11622</v>
      </c>
      <c r="B889" t="s">
        <v>36</v>
      </c>
      <c r="C889" t="s">
        <v>39</v>
      </c>
      <c r="D889" s="1">
        <v>50000</v>
      </c>
      <c r="E889">
        <v>0</v>
      </c>
      <c r="F889" t="s">
        <v>31</v>
      </c>
      <c r="G889" t="s">
        <v>14</v>
      </c>
      <c r="H889" t="s">
        <v>15</v>
      </c>
      <c r="I889">
        <v>0</v>
      </c>
      <c r="J889" t="s">
        <v>16</v>
      </c>
      <c r="K889" t="s">
        <v>32</v>
      </c>
      <c r="L889">
        <v>32</v>
      </c>
      <c r="M889" t="str">
        <f t="shared" si="13"/>
        <v>Adolescence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Young</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Young</v>
      </c>
      <c r="N891" t="s">
        <v>15</v>
      </c>
    </row>
    <row r="892" spans="1:14" hidden="1"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hidden="1"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Young</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Young</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Young</v>
      </c>
      <c r="N896" t="s">
        <v>15</v>
      </c>
    </row>
    <row r="897" spans="1:14" hidden="1" x14ac:dyDescent="0.3">
      <c r="A897">
        <v>20401</v>
      </c>
      <c r="B897" t="s">
        <v>36</v>
      </c>
      <c r="C897" t="s">
        <v>38</v>
      </c>
      <c r="D897" s="1">
        <v>50000</v>
      </c>
      <c r="E897">
        <v>4</v>
      </c>
      <c r="F897" t="s">
        <v>13</v>
      </c>
      <c r="G897" t="s">
        <v>28</v>
      </c>
      <c r="H897" t="s">
        <v>15</v>
      </c>
      <c r="I897">
        <v>2</v>
      </c>
      <c r="J897" t="s">
        <v>26</v>
      </c>
      <c r="K897" t="s">
        <v>32</v>
      </c>
      <c r="L897">
        <v>64</v>
      </c>
      <c r="M897" t="str">
        <f t="shared" si="13"/>
        <v>Middle Age</v>
      </c>
      <c r="N897" t="s">
        <v>15</v>
      </c>
    </row>
    <row r="898" spans="1:14" hidden="1" x14ac:dyDescent="0.3">
      <c r="A898">
        <v>21583</v>
      </c>
      <c r="B898" t="s">
        <v>36</v>
      </c>
      <c r="C898" t="s">
        <v>38</v>
      </c>
      <c r="D898" s="1">
        <v>50000</v>
      </c>
      <c r="E898">
        <v>1</v>
      </c>
      <c r="F898" t="s">
        <v>13</v>
      </c>
      <c r="G898" t="s">
        <v>14</v>
      </c>
      <c r="H898" t="s">
        <v>15</v>
      </c>
      <c r="I898">
        <v>0</v>
      </c>
      <c r="J898" t="s">
        <v>16</v>
      </c>
      <c r="K898" t="s">
        <v>32</v>
      </c>
      <c r="L898">
        <v>34</v>
      </c>
      <c r="M898" t="str">
        <f t="shared" si="13"/>
        <v>Adolescence</v>
      </c>
      <c r="N898" t="s">
        <v>15</v>
      </c>
    </row>
    <row r="899" spans="1:14" hidden="1" x14ac:dyDescent="0.3">
      <c r="A899">
        <v>12029</v>
      </c>
      <c r="B899" t="s">
        <v>36</v>
      </c>
      <c r="C899" t="s">
        <v>39</v>
      </c>
      <c r="D899" s="1">
        <v>30000</v>
      </c>
      <c r="E899">
        <v>0</v>
      </c>
      <c r="F899" t="s">
        <v>29</v>
      </c>
      <c r="G899" t="s">
        <v>20</v>
      </c>
      <c r="H899" t="s">
        <v>18</v>
      </c>
      <c r="I899">
        <v>2</v>
      </c>
      <c r="J899" t="s">
        <v>16</v>
      </c>
      <c r="K899" t="s">
        <v>32</v>
      </c>
      <c r="L899">
        <v>28</v>
      </c>
      <c r="M899" t="str">
        <f t="shared" ref="M899:M962" si="14">IF(L899&gt;=65, "Old", IF(L899&gt;=45, "Middle Age", IF(L899&gt;=35, "Young", IF(L899&gt;=25, "Adolescence", "Invalid"))))</f>
        <v>Adolescence</v>
      </c>
      <c r="N899" t="s">
        <v>18</v>
      </c>
    </row>
    <row r="900" spans="1:14" hidden="1" x14ac:dyDescent="0.3">
      <c r="A900">
        <v>18066</v>
      </c>
      <c r="B900" t="s">
        <v>37</v>
      </c>
      <c r="C900" t="s">
        <v>39</v>
      </c>
      <c r="D900" s="1">
        <v>70000</v>
      </c>
      <c r="E900">
        <v>5</v>
      </c>
      <c r="F900" t="s">
        <v>13</v>
      </c>
      <c r="G900" t="s">
        <v>28</v>
      </c>
      <c r="H900" t="s">
        <v>15</v>
      </c>
      <c r="I900">
        <v>3</v>
      </c>
      <c r="J900" t="s">
        <v>30</v>
      </c>
      <c r="K900" t="s">
        <v>32</v>
      </c>
      <c r="L900">
        <v>60</v>
      </c>
      <c r="M900" t="str">
        <f t="shared" si="14"/>
        <v>Middle Age</v>
      </c>
      <c r="N900" t="s">
        <v>15</v>
      </c>
    </row>
    <row r="901" spans="1:14" hidden="1" x14ac:dyDescent="0.3">
      <c r="A901">
        <v>28192</v>
      </c>
      <c r="B901" t="s">
        <v>36</v>
      </c>
      <c r="C901" t="s">
        <v>38</v>
      </c>
      <c r="D901" s="1">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Young</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Young</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Young</v>
      </c>
      <c r="N904" t="s">
        <v>18</v>
      </c>
    </row>
    <row r="905" spans="1:14" hidden="1"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Young</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Young</v>
      </c>
      <c r="N907" t="s">
        <v>15</v>
      </c>
    </row>
    <row r="908" spans="1:14" hidden="1" x14ac:dyDescent="0.3">
      <c r="A908">
        <v>25394</v>
      </c>
      <c r="B908" t="s">
        <v>36</v>
      </c>
      <c r="C908" t="s">
        <v>39</v>
      </c>
      <c r="D908" s="1">
        <v>60000</v>
      </c>
      <c r="E908">
        <v>1</v>
      </c>
      <c r="F908" t="s">
        <v>31</v>
      </c>
      <c r="G908" t="s">
        <v>21</v>
      </c>
      <c r="H908" t="s">
        <v>15</v>
      </c>
      <c r="I908">
        <v>0</v>
      </c>
      <c r="J908" t="s">
        <v>22</v>
      </c>
      <c r="K908" t="s">
        <v>32</v>
      </c>
      <c r="L908">
        <v>34</v>
      </c>
      <c r="M908" t="str">
        <f t="shared" si="14"/>
        <v>Adolescence</v>
      </c>
      <c r="N908" t="s">
        <v>15</v>
      </c>
    </row>
    <row r="909" spans="1:14" hidden="1" x14ac:dyDescent="0.3">
      <c r="A909">
        <v>19747</v>
      </c>
      <c r="B909" t="s">
        <v>36</v>
      </c>
      <c r="C909" t="s">
        <v>39</v>
      </c>
      <c r="D909" s="1">
        <v>50000</v>
      </c>
      <c r="E909">
        <v>4</v>
      </c>
      <c r="F909" t="s">
        <v>13</v>
      </c>
      <c r="G909" t="s">
        <v>28</v>
      </c>
      <c r="H909" t="s">
        <v>15</v>
      </c>
      <c r="I909">
        <v>2</v>
      </c>
      <c r="J909" t="s">
        <v>30</v>
      </c>
      <c r="K909" t="s">
        <v>32</v>
      </c>
      <c r="L909">
        <v>63</v>
      </c>
      <c r="M909" t="str">
        <f t="shared" si="14"/>
        <v>Middle Age</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Young</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Young</v>
      </c>
      <c r="N911" t="s">
        <v>15</v>
      </c>
    </row>
    <row r="912" spans="1:14" hidden="1"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hidden="1" x14ac:dyDescent="0.3">
      <c r="A913">
        <v>13337</v>
      </c>
      <c r="B913" t="s">
        <v>36</v>
      </c>
      <c r="C913" t="s">
        <v>38</v>
      </c>
      <c r="D913" s="1">
        <v>80000</v>
      </c>
      <c r="E913">
        <v>5</v>
      </c>
      <c r="F913" t="s">
        <v>13</v>
      </c>
      <c r="G913" t="s">
        <v>28</v>
      </c>
      <c r="H913" t="s">
        <v>15</v>
      </c>
      <c r="I913">
        <v>2</v>
      </c>
      <c r="J913" t="s">
        <v>23</v>
      </c>
      <c r="K913" t="s">
        <v>32</v>
      </c>
      <c r="L913">
        <v>64</v>
      </c>
      <c r="M913" t="str">
        <f t="shared" si="14"/>
        <v>Middle Age</v>
      </c>
      <c r="N913" t="s">
        <v>18</v>
      </c>
    </row>
    <row r="914" spans="1:14" hidden="1" x14ac:dyDescent="0.3">
      <c r="A914">
        <v>27190</v>
      </c>
      <c r="B914" t="s">
        <v>36</v>
      </c>
      <c r="C914" t="s">
        <v>38</v>
      </c>
      <c r="D914" s="1">
        <v>40000</v>
      </c>
      <c r="E914">
        <v>3</v>
      </c>
      <c r="F914" t="s">
        <v>19</v>
      </c>
      <c r="G914" t="s">
        <v>20</v>
      </c>
      <c r="H914" t="s">
        <v>15</v>
      </c>
      <c r="I914">
        <v>1</v>
      </c>
      <c r="J914" t="s">
        <v>26</v>
      </c>
      <c r="K914" t="s">
        <v>32</v>
      </c>
      <c r="L914">
        <v>32</v>
      </c>
      <c r="M914" t="str">
        <f t="shared" si="14"/>
        <v>Adolescence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Young</v>
      </c>
      <c r="N915" t="s">
        <v>15</v>
      </c>
    </row>
    <row r="916" spans="1:14" hidden="1"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hidden="1" x14ac:dyDescent="0.3">
      <c r="A917">
        <v>21752</v>
      </c>
      <c r="B917" t="s">
        <v>36</v>
      </c>
      <c r="C917" t="s">
        <v>39</v>
      </c>
      <c r="D917" s="1">
        <v>60000</v>
      </c>
      <c r="E917">
        <v>3</v>
      </c>
      <c r="F917" t="s">
        <v>31</v>
      </c>
      <c r="G917" t="s">
        <v>28</v>
      </c>
      <c r="H917" t="s">
        <v>15</v>
      </c>
      <c r="I917">
        <v>2</v>
      </c>
      <c r="J917" t="s">
        <v>30</v>
      </c>
      <c r="K917" t="s">
        <v>32</v>
      </c>
      <c r="L917">
        <v>64</v>
      </c>
      <c r="M917" t="str">
        <f t="shared" si="14"/>
        <v>Middle Age</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Young</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Young</v>
      </c>
      <c r="N919" t="s">
        <v>15</v>
      </c>
    </row>
    <row r="920" spans="1:14" hidden="1" x14ac:dyDescent="0.3">
      <c r="A920">
        <v>22042</v>
      </c>
      <c r="B920" t="s">
        <v>36</v>
      </c>
      <c r="C920" t="s">
        <v>38</v>
      </c>
      <c r="D920" s="1">
        <v>70000</v>
      </c>
      <c r="E920">
        <v>0</v>
      </c>
      <c r="F920" t="s">
        <v>19</v>
      </c>
      <c r="G920" t="s">
        <v>14</v>
      </c>
      <c r="H920" t="s">
        <v>15</v>
      </c>
      <c r="I920">
        <v>2</v>
      </c>
      <c r="J920" t="s">
        <v>23</v>
      </c>
      <c r="K920" t="s">
        <v>32</v>
      </c>
      <c r="L920">
        <v>34</v>
      </c>
      <c r="M920" t="str">
        <f t="shared" si="14"/>
        <v>Adolescence</v>
      </c>
      <c r="N920" t="s">
        <v>15</v>
      </c>
    </row>
    <row r="921" spans="1:14" hidden="1" x14ac:dyDescent="0.3">
      <c r="A921">
        <v>21451</v>
      </c>
      <c r="B921" t="s">
        <v>36</v>
      </c>
      <c r="C921" t="s">
        <v>38</v>
      </c>
      <c r="D921" s="1">
        <v>40000</v>
      </c>
      <c r="E921">
        <v>4</v>
      </c>
      <c r="F921" t="s">
        <v>27</v>
      </c>
      <c r="G921" t="s">
        <v>21</v>
      </c>
      <c r="H921" t="s">
        <v>15</v>
      </c>
      <c r="I921">
        <v>2</v>
      </c>
      <c r="J921" t="s">
        <v>30</v>
      </c>
      <c r="K921" t="s">
        <v>32</v>
      </c>
      <c r="L921">
        <v>61</v>
      </c>
      <c r="M921" t="str">
        <f t="shared" si="14"/>
        <v>Middle Age</v>
      </c>
      <c r="N921" t="s">
        <v>18</v>
      </c>
    </row>
    <row r="922" spans="1:14" hidden="1"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hidden="1"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hidden="1"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hidden="1"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hidden="1"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hidden="1" x14ac:dyDescent="0.3">
      <c r="A927">
        <v>15862</v>
      </c>
      <c r="B927" t="s">
        <v>37</v>
      </c>
      <c r="C927" t="s">
        <v>38</v>
      </c>
      <c r="D927" s="1">
        <v>50000</v>
      </c>
      <c r="E927">
        <v>0</v>
      </c>
      <c r="F927" t="s">
        <v>31</v>
      </c>
      <c r="G927" t="s">
        <v>14</v>
      </c>
      <c r="H927" t="s">
        <v>15</v>
      </c>
      <c r="I927">
        <v>0</v>
      </c>
      <c r="J927" t="s">
        <v>26</v>
      </c>
      <c r="K927" t="s">
        <v>32</v>
      </c>
      <c r="L927">
        <v>33</v>
      </c>
      <c r="M927" t="str">
        <f t="shared" si="14"/>
        <v>Adolescence</v>
      </c>
      <c r="N927" t="s">
        <v>15</v>
      </c>
    </row>
    <row r="928" spans="1:14" hidden="1" x14ac:dyDescent="0.3">
      <c r="A928">
        <v>26495</v>
      </c>
      <c r="B928" t="s">
        <v>37</v>
      </c>
      <c r="C928" t="s">
        <v>38</v>
      </c>
      <c r="D928" s="1">
        <v>40000</v>
      </c>
      <c r="E928">
        <v>2</v>
      </c>
      <c r="F928" t="s">
        <v>27</v>
      </c>
      <c r="G928" t="s">
        <v>21</v>
      </c>
      <c r="H928" t="s">
        <v>15</v>
      </c>
      <c r="I928">
        <v>2</v>
      </c>
      <c r="J928" t="s">
        <v>30</v>
      </c>
      <c r="K928" t="s">
        <v>32</v>
      </c>
      <c r="L928">
        <v>57</v>
      </c>
      <c r="M928" t="str">
        <f t="shared" si="14"/>
        <v>Middle Age</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Young</v>
      </c>
      <c r="N929" t="s">
        <v>18</v>
      </c>
    </row>
    <row r="930" spans="1:14" hidden="1"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hidden="1"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hidden="1" x14ac:dyDescent="0.3">
      <c r="A932">
        <v>19543</v>
      </c>
      <c r="B932" t="s">
        <v>36</v>
      </c>
      <c r="C932" t="s">
        <v>39</v>
      </c>
      <c r="D932" s="1">
        <v>70000</v>
      </c>
      <c r="E932">
        <v>5</v>
      </c>
      <c r="F932" t="s">
        <v>31</v>
      </c>
      <c r="G932" t="s">
        <v>21</v>
      </c>
      <c r="H932" t="s">
        <v>18</v>
      </c>
      <c r="I932">
        <v>3</v>
      </c>
      <c r="J932" t="s">
        <v>30</v>
      </c>
      <c r="K932" t="s">
        <v>32</v>
      </c>
      <c r="L932">
        <v>47</v>
      </c>
      <c r="M932" t="str">
        <f t="shared" si="14"/>
        <v>Middle Age</v>
      </c>
      <c r="N932" t="s">
        <v>18</v>
      </c>
    </row>
    <row r="933" spans="1:14" hidden="1"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hidden="1" x14ac:dyDescent="0.3">
      <c r="A934">
        <v>12033</v>
      </c>
      <c r="B934" t="s">
        <v>37</v>
      </c>
      <c r="C934" t="s">
        <v>38</v>
      </c>
      <c r="D934" s="1">
        <v>40000</v>
      </c>
      <c r="E934">
        <v>0</v>
      </c>
      <c r="F934" t="s">
        <v>27</v>
      </c>
      <c r="G934" t="s">
        <v>14</v>
      </c>
      <c r="H934" t="s">
        <v>18</v>
      </c>
      <c r="I934">
        <v>2</v>
      </c>
      <c r="J934" t="s">
        <v>16</v>
      </c>
      <c r="K934" t="s">
        <v>32</v>
      </c>
      <c r="L934">
        <v>27</v>
      </c>
      <c r="M934" t="str">
        <f t="shared" si="14"/>
        <v>Adolescence</v>
      </c>
      <c r="N934" t="s">
        <v>15</v>
      </c>
    </row>
    <row r="935" spans="1:14" hidden="1" x14ac:dyDescent="0.3">
      <c r="A935">
        <v>11941</v>
      </c>
      <c r="B935" t="s">
        <v>37</v>
      </c>
      <c r="C935" t="s">
        <v>39</v>
      </c>
      <c r="D935" s="1">
        <v>60000</v>
      </c>
      <c r="E935">
        <v>0</v>
      </c>
      <c r="F935" t="s">
        <v>19</v>
      </c>
      <c r="G935" t="s">
        <v>14</v>
      </c>
      <c r="H935" t="s">
        <v>15</v>
      </c>
      <c r="I935">
        <v>0</v>
      </c>
      <c r="J935" t="s">
        <v>23</v>
      </c>
      <c r="K935" t="s">
        <v>32</v>
      </c>
      <c r="L935">
        <v>29</v>
      </c>
      <c r="M935" t="str">
        <f t="shared" si="14"/>
        <v>Adolescence</v>
      </c>
      <c r="N935" t="s">
        <v>18</v>
      </c>
    </row>
    <row r="936" spans="1:14" hidden="1" x14ac:dyDescent="0.3">
      <c r="A936">
        <v>14389</v>
      </c>
      <c r="B936" t="s">
        <v>36</v>
      </c>
      <c r="C936" t="s">
        <v>39</v>
      </c>
      <c r="D936" s="1">
        <v>60000</v>
      </c>
      <c r="E936">
        <v>2</v>
      </c>
      <c r="F936" t="s">
        <v>13</v>
      </c>
      <c r="G936" t="s">
        <v>28</v>
      </c>
      <c r="H936" t="s">
        <v>15</v>
      </c>
      <c r="I936">
        <v>0</v>
      </c>
      <c r="J936" t="s">
        <v>22</v>
      </c>
      <c r="K936" t="s">
        <v>32</v>
      </c>
      <c r="L936">
        <v>59</v>
      </c>
      <c r="M936" t="str">
        <f t="shared" si="14"/>
        <v>Middle Age</v>
      </c>
      <c r="N936" t="s">
        <v>18</v>
      </c>
    </row>
    <row r="937" spans="1:14" hidden="1"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hidden="1" x14ac:dyDescent="0.3">
      <c r="A938">
        <v>19856</v>
      </c>
      <c r="B938" t="s">
        <v>36</v>
      </c>
      <c r="C938" t="s">
        <v>38</v>
      </c>
      <c r="D938" s="1">
        <v>60000</v>
      </c>
      <c r="E938">
        <v>4</v>
      </c>
      <c r="F938" t="s">
        <v>13</v>
      </c>
      <c r="G938" t="s">
        <v>28</v>
      </c>
      <c r="H938" t="s">
        <v>15</v>
      </c>
      <c r="I938">
        <v>2</v>
      </c>
      <c r="J938" t="s">
        <v>22</v>
      </c>
      <c r="K938" t="s">
        <v>32</v>
      </c>
      <c r="L938">
        <v>60</v>
      </c>
      <c r="M938" t="str">
        <f t="shared" si="14"/>
        <v>Middle Age</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Young</v>
      </c>
      <c r="N939" t="s">
        <v>15</v>
      </c>
    </row>
    <row r="940" spans="1:14" hidden="1" x14ac:dyDescent="0.3">
      <c r="A940">
        <v>27740</v>
      </c>
      <c r="B940" t="s">
        <v>36</v>
      </c>
      <c r="C940" t="s">
        <v>38</v>
      </c>
      <c r="D940" s="1">
        <v>40000</v>
      </c>
      <c r="E940">
        <v>0</v>
      </c>
      <c r="F940" t="s">
        <v>27</v>
      </c>
      <c r="G940" t="s">
        <v>14</v>
      </c>
      <c r="H940" t="s">
        <v>15</v>
      </c>
      <c r="I940">
        <v>2</v>
      </c>
      <c r="J940" t="s">
        <v>23</v>
      </c>
      <c r="K940" t="s">
        <v>32</v>
      </c>
      <c r="L940">
        <v>27</v>
      </c>
      <c r="M940" t="str">
        <f t="shared" si="14"/>
        <v>Adolescence</v>
      </c>
      <c r="N940" t="s">
        <v>18</v>
      </c>
    </row>
    <row r="941" spans="1:14" hidden="1"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Young</v>
      </c>
      <c r="N942" t="s">
        <v>18</v>
      </c>
    </row>
    <row r="943" spans="1:14" hidden="1" x14ac:dyDescent="0.3">
      <c r="A943">
        <v>21587</v>
      </c>
      <c r="B943" t="s">
        <v>36</v>
      </c>
      <c r="C943" t="s">
        <v>38</v>
      </c>
      <c r="D943" s="1">
        <v>60000</v>
      </c>
      <c r="E943">
        <v>1</v>
      </c>
      <c r="F943" t="s">
        <v>31</v>
      </c>
      <c r="G943" t="s">
        <v>14</v>
      </c>
      <c r="H943" t="s">
        <v>15</v>
      </c>
      <c r="I943">
        <v>0</v>
      </c>
      <c r="J943" t="s">
        <v>22</v>
      </c>
      <c r="K943" t="s">
        <v>32</v>
      </c>
      <c r="L943">
        <v>34</v>
      </c>
      <c r="M943" t="str">
        <f t="shared" si="14"/>
        <v>Adolescence</v>
      </c>
      <c r="N943" t="s">
        <v>15</v>
      </c>
    </row>
    <row r="944" spans="1:14" hidden="1"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Young</v>
      </c>
      <c r="N945" t="s">
        <v>18</v>
      </c>
    </row>
    <row r="946" spans="1:14" hidden="1" x14ac:dyDescent="0.3">
      <c r="A946">
        <v>26298</v>
      </c>
      <c r="B946" t="s">
        <v>36</v>
      </c>
      <c r="C946" t="s">
        <v>38</v>
      </c>
      <c r="D946" s="1">
        <v>50000</v>
      </c>
      <c r="E946">
        <v>1</v>
      </c>
      <c r="F946" t="s">
        <v>13</v>
      </c>
      <c r="G946" t="s">
        <v>14</v>
      </c>
      <c r="H946" t="s">
        <v>15</v>
      </c>
      <c r="I946">
        <v>0</v>
      </c>
      <c r="J946" t="s">
        <v>22</v>
      </c>
      <c r="K946" t="s">
        <v>32</v>
      </c>
      <c r="L946">
        <v>34</v>
      </c>
      <c r="M946" t="str">
        <f t="shared" si="14"/>
        <v>Adolescence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Young</v>
      </c>
      <c r="N947" t="s">
        <v>15</v>
      </c>
    </row>
    <row r="948" spans="1:14" hidden="1" x14ac:dyDescent="0.3">
      <c r="A948">
        <v>13343</v>
      </c>
      <c r="B948" t="s">
        <v>36</v>
      </c>
      <c r="C948" t="s">
        <v>38</v>
      </c>
      <c r="D948" s="1">
        <v>90000</v>
      </c>
      <c r="E948">
        <v>5</v>
      </c>
      <c r="F948" t="s">
        <v>13</v>
      </c>
      <c r="G948" t="s">
        <v>28</v>
      </c>
      <c r="H948" t="s">
        <v>15</v>
      </c>
      <c r="I948">
        <v>2</v>
      </c>
      <c r="J948" t="s">
        <v>26</v>
      </c>
      <c r="K948" t="s">
        <v>32</v>
      </c>
      <c r="L948">
        <v>63</v>
      </c>
      <c r="M948" t="str">
        <f t="shared" si="14"/>
        <v>Middle Age</v>
      </c>
      <c r="N948" t="s">
        <v>15</v>
      </c>
    </row>
    <row r="949" spans="1:14" hidden="1"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Young</v>
      </c>
      <c r="N950" t="s">
        <v>18</v>
      </c>
    </row>
    <row r="951" spans="1:14" hidden="1" x14ac:dyDescent="0.3">
      <c r="A951">
        <v>28056</v>
      </c>
      <c r="B951" t="s">
        <v>36</v>
      </c>
      <c r="C951" t="s">
        <v>39</v>
      </c>
      <c r="D951" s="1">
        <v>70000</v>
      </c>
      <c r="E951">
        <v>2</v>
      </c>
      <c r="F951" t="s">
        <v>29</v>
      </c>
      <c r="G951" t="s">
        <v>14</v>
      </c>
      <c r="H951" t="s">
        <v>15</v>
      </c>
      <c r="I951">
        <v>2</v>
      </c>
      <c r="J951" t="s">
        <v>30</v>
      </c>
      <c r="K951" t="s">
        <v>32</v>
      </c>
      <c r="L951">
        <v>53</v>
      </c>
      <c r="M951" t="str">
        <f t="shared" si="14"/>
        <v>Middle Age</v>
      </c>
      <c r="N951" t="s">
        <v>18</v>
      </c>
    </row>
    <row r="952" spans="1:14" hidden="1" x14ac:dyDescent="0.3">
      <c r="A952">
        <v>11788</v>
      </c>
      <c r="B952" t="s">
        <v>37</v>
      </c>
      <c r="C952" t="s">
        <v>38</v>
      </c>
      <c r="D952" s="1">
        <v>70000</v>
      </c>
      <c r="E952">
        <v>1</v>
      </c>
      <c r="F952" t="s">
        <v>31</v>
      </c>
      <c r="G952" t="s">
        <v>21</v>
      </c>
      <c r="H952" t="s">
        <v>15</v>
      </c>
      <c r="I952">
        <v>0</v>
      </c>
      <c r="J952" t="s">
        <v>22</v>
      </c>
      <c r="K952" t="s">
        <v>32</v>
      </c>
      <c r="L952">
        <v>34</v>
      </c>
      <c r="M952" t="str">
        <f t="shared" si="14"/>
        <v>Adolescence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Young</v>
      </c>
      <c r="N953" t="s">
        <v>18</v>
      </c>
    </row>
    <row r="954" spans="1:14" hidden="1" x14ac:dyDescent="0.3">
      <c r="A954">
        <v>15319</v>
      </c>
      <c r="B954" t="s">
        <v>36</v>
      </c>
      <c r="C954" t="s">
        <v>38</v>
      </c>
      <c r="D954" s="1">
        <v>70000</v>
      </c>
      <c r="E954">
        <v>4</v>
      </c>
      <c r="F954" t="s">
        <v>13</v>
      </c>
      <c r="G954" t="s">
        <v>28</v>
      </c>
      <c r="H954" t="s">
        <v>18</v>
      </c>
      <c r="I954">
        <v>1</v>
      </c>
      <c r="J954" t="s">
        <v>26</v>
      </c>
      <c r="K954" t="s">
        <v>32</v>
      </c>
      <c r="L954">
        <v>59</v>
      </c>
      <c r="M954" t="str">
        <f t="shared" si="14"/>
        <v>Middle Age</v>
      </c>
      <c r="N954" t="s">
        <v>18</v>
      </c>
    </row>
    <row r="955" spans="1:14" hidden="1" x14ac:dyDescent="0.3">
      <c r="A955">
        <v>17654</v>
      </c>
      <c r="B955" t="s">
        <v>37</v>
      </c>
      <c r="C955" t="s">
        <v>38</v>
      </c>
      <c r="D955" s="1">
        <v>40000</v>
      </c>
      <c r="E955">
        <v>3</v>
      </c>
      <c r="F955" t="s">
        <v>19</v>
      </c>
      <c r="G955" t="s">
        <v>20</v>
      </c>
      <c r="H955" t="s">
        <v>15</v>
      </c>
      <c r="I955">
        <v>1</v>
      </c>
      <c r="J955" t="s">
        <v>26</v>
      </c>
      <c r="K955" t="s">
        <v>32</v>
      </c>
      <c r="L955">
        <v>30</v>
      </c>
      <c r="M955" t="str">
        <f t="shared" si="14"/>
        <v>Adolescence</v>
      </c>
      <c r="N955" t="s">
        <v>15</v>
      </c>
    </row>
    <row r="956" spans="1:14" hidden="1"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Young</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Young</v>
      </c>
      <c r="N958" t="s">
        <v>15</v>
      </c>
    </row>
    <row r="959" spans="1:14" hidden="1" x14ac:dyDescent="0.3">
      <c r="A959">
        <v>13073</v>
      </c>
      <c r="B959" t="s">
        <v>36</v>
      </c>
      <c r="C959" t="s">
        <v>38</v>
      </c>
      <c r="D959" s="1">
        <v>60000</v>
      </c>
      <c r="E959">
        <v>0</v>
      </c>
      <c r="F959" t="s">
        <v>19</v>
      </c>
      <c r="G959" t="s">
        <v>21</v>
      </c>
      <c r="H959" t="s">
        <v>15</v>
      </c>
      <c r="I959">
        <v>2</v>
      </c>
      <c r="J959" t="s">
        <v>23</v>
      </c>
      <c r="K959" t="s">
        <v>32</v>
      </c>
      <c r="L959">
        <v>30</v>
      </c>
      <c r="M959" t="str">
        <f t="shared" si="14"/>
        <v>Adolescence</v>
      </c>
      <c r="N959" t="s">
        <v>18</v>
      </c>
    </row>
    <row r="960" spans="1:14" hidden="1"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hidden="1"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hidden="1"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hidden="1" x14ac:dyDescent="0.3">
      <c r="A963">
        <v>16651</v>
      </c>
      <c r="B963" t="s">
        <v>36</v>
      </c>
      <c r="C963" t="s">
        <v>38</v>
      </c>
      <c r="D963" s="1">
        <v>120000</v>
      </c>
      <c r="E963">
        <v>2</v>
      </c>
      <c r="F963" t="s">
        <v>13</v>
      </c>
      <c r="G963" t="s">
        <v>28</v>
      </c>
      <c r="H963" t="s">
        <v>15</v>
      </c>
      <c r="I963">
        <v>3</v>
      </c>
      <c r="J963" t="s">
        <v>23</v>
      </c>
      <c r="K963" t="s">
        <v>32</v>
      </c>
      <c r="L963">
        <v>62</v>
      </c>
      <c r="M963" t="str">
        <f t="shared" ref="M963:M1001" si="15">IF(L963&gt;=65, "Old", IF(L963&gt;=45, "Middle Age", IF(L963&gt;=35, "Young", IF(L963&gt;=25, "Adolescence", "Invalid"))))</f>
        <v>Middle Age</v>
      </c>
      <c r="N963" t="s">
        <v>18</v>
      </c>
    </row>
    <row r="964" spans="1:14" hidden="1" x14ac:dyDescent="0.3">
      <c r="A964">
        <v>16813</v>
      </c>
      <c r="B964" t="s">
        <v>36</v>
      </c>
      <c r="C964" t="s">
        <v>39</v>
      </c>
      <c r="D964" s="1">
        <v>60000</v>
      </c>
      <c r="E964">
        <v>2</v>
      </c>
      <c r="F964" t="s">
        <v>19</v>
      </c>
      <c r="G964" t="s">
        <v>21</v>
      </c>
      <c r="H964" t="s">
        <v>15</v>
      </c>
      <c r="I964">
        <v>2</v>
      </c>
      <c r="J964" t="s">
        <v>30</v>
      </c>
      <c r="K964" t="s">
        <v>32</v>
      </c>
      <c r="L964">
        <v>55</v>
      </c>
      <c r="M964" t="str">
        <f t="shared" si="15"/>
        <v>Middle Age</v>
      </c>
      <c r="N964" t="s">
        <v>18</v>
      </c>
    </row>
    <row r="965" spans="1:14" hidden="1"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hidden="1" x14ac:dyDescent="0.3">
      <c r="A966">
        <v>27434</v>
      </c>
      <c r="B966" t="s">
        <v>37</v>
      </c>
      <c r="C966" t="s">
        <v>39</v>
      </c>
      <c r="D966" s="1">
        <v>70000</v>
      </c>
      <c r="E966">
        <v>4</v>
      </c>
      <c r="F966" t="s">
        <v>19</v>
      </c>
      <c r="G966" t="s">
        <v>21</v>
      </c>
      <c r="H966" t="s">
        <v>15</v>
      </c>
      <c r="I966">
        <v>1</v>
      </c>
      <c r="J966" t="s">
        <v>30</v>
      </c>
      <c r="K966" t="s">
        <v>32</v>
      </c>
      <c r="L966">
        <v>56</v>
      </c>
      <c r="M966" t="str">
        <f t="shared" si="15"/>
        <v>Middle Age</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Young</v>
      </c>
      <c r="N967" t="s">
        <v>18</v>
      </c>
    </row>
    <row r="968" spans="1:14" hidden="1" x14ac:dyDescent="0.3">
      <c r="A968">
        <v>23818</v>
      </c>
      <c r="B968" t="s">
        <v>36</v>
      </c>
      <c r="C968" t="s">
        <v>38</v>
      </c>
      <c r="D968" s="1">
        <v>50000</v>
      </c>
      <c r="E968">
        <v>0</v>
      </c>
      <c r="F968" t="s">
        <v>31</v>
      </c>
      <c r="G968" t="s">
        <v>14</v>
      </c>
      <c r="H968" t="s">
        <v>15</v>
      </c>
      <c r="I968">
        <v>0</v>
      </c>
      <c r="J968" t="s">
        <v>26</v>
      </c>
      <c r="K968" t="s">
        <v>32</v>
      </c>
      <c r="L968">
        <v>33</v>
      </c>
      <c r="M968" t="str">
        <f t="shared" si="15"/>
        <v>Adolescence</v>
      </c>
      <c r="N968" t="s">
        <v>15</v>
      </c>
    </row>
    <row r="969" spans="1:14" hidden="1" x14ac:dyDescent="0.3">
      <c r="A969">
        <v>19012</v>
      </c>
      <c r="B969" t="s">
        <v>36</v>
      </c>
      <c r="C969" t="s">
        <v>39</v>
      </c>
      <c r="D969" s="1">
        <v>80000</v>
      </c>
      <c r="E969">
        <v>3</v>
      </c>
      <c r="F969" t="s">
        <v>13</v>
      </c>
      <c r="G969" t="s">
        <v>28</v>
      </c>
      <c r="H969" t="s">
        <v>15</v>
      </c>
      <c r="I969">
        <v>1</v>
      </c>
      <c r="J969" t="s">
        <v>26</v>
      </c>
      <c r="K969" t="s">
        <v>32</v>
      </c>
      <c r="L969">
        <v>56</v>
      </c>
      <c r="M969" t="str">
        <f t="shared" si="15"/>
        <v>Middle Age</v>
      </c>
      <c r="N969" t="s">
        <v>18</v>
      </c>
    </row>
    <row r="970" spans="1:14" hidden="1" x14ac:dyDescent="0.3">
      <c r="A970">
        <v>18329</v>
      </c>
      <c r="B970" t="s">
        <v>37</v>
      </c>
      <c r="C970" t="s">
        <v>39</v>
      </c>
      <c r="D970" s="1">
        <v>30000</v>
      </c>
      <c r="E970">
        <v>0</v>
      </c>
      <c r="F970" t="s">
        <v>29</v>
      </c>
      <c r="G970" t="s">
        <v>20</v>
      </c>
      <c r="H970" t="s">
        <v>18</v>
      </c>
      <c r="I970">
        <v>2</v>
      </c>
      <c r="J970" t="s">
        <v>23</v>
      </c>
      <c r="K970" t="s">
        <v>32</v>
      </c>
      <c r="L970">
        <v>27</v>
      </c>
      <c r="M970" t="str">
        <f t="shared" si="15"/>
        <v>Adolescence</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Young</v>
      </c>
      <c r="N971" t="s">
        <v>18</v>
      </c>
    </row>
    <row r="972" spans="1:14" hidden="1" x14ac:dyDescent="0.3">
      <c r="A972">
        <v>26576</v>
      </c>
      <c r="B972" t="s">
        <v>36</v>
      </c>
      <c r="C972" t="s">
        <v>38</v>
      </c>
      <c r="D972" s="1">
        <v>60000</v>
      </c>
      <c r="E972">
        <v>0</v>
      </c>
      <c r="F972" t="s">
        <v>19</v>
      </c>
      <c r="G972" t="s">
        <v>14</v>
      </c>
      <c r="H972" t="s">
        <v>15</v>
      </c>
      <c r="I972">
        <v>2</v>
      </c>
      <c r="J972" t="s">
        <v>23</v>
      </c>
      <c r="K972" t="s">
        <v>32</v>
      </c>
      <c r="L972">
        <v>31</v>
      </c>
      <c r="M972" t="str">
        <f t="shared" si="15"/>
        <v>Adolescence</v>
      </c>
      <c r="N972" t="s">
        <v>18</v>
      </c>
    </row>
    <row r="973" spans="1:14" hidden="1"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hidden="1"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hidden="1"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hidden="1"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Young</v>
      </c>
      <c r="N977" t="s">
        <v>15</v>
      </c>
    </row>
    <row r="978" spans="1:14" hidden="1" x14ac:dyDescent="0.3">
      <c r="A978">
        <v>28004</v>
      </c>
      <c r="B978" t="s">
        <v>36</v>
      </c>
      <c r="C978" t="s">
        <v>38</v>
      </c>
      <c r="D978" s="1">
        <v>60000</v>
      </c>
      <c r="E978">
        <v>3</v>
      </c>
      <c r="F978" t="s">
        <v>13</v>
      </c>
      <c r="G978" t="s">
        <v>28</v>
      </c>
      <c r="H978" t="s">
        <v>15</v>
      </c>
      <c r="I978">
        <v>2</v>
      </c>
      <c r="J978" t="s">
        <v>30</v>
      </c>
      <c r="K978" t="s">
        <v>32</v>
      </c>
      <c r="L978">
        <v>66</v>
      </c>
      <c r="M978" t="str">
        <f t="shared" si="15"/>
        <v>Old</v>
      </c>
      <c r="N978" t="s">
        <v>18</v>
      </c>
    </row>
    <row r="979" spans="1:14" hidden="1"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hidden="1"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hidden="1" x14ac:dyDescent="0.3">
      <c r="A981">
        <v>17337</v>
      </c>
      <c r="B981" t="s">
        <v>37</v>
      </c>
      <c r="C981" t="s">
        <v>39</v>
      </c>
      <c r="D981" s="1">
        <v>40000</v>
      </c>
      <c r="E981">
        <v>0</v>
      </c>
      <c r="F981" t="s">
        <v>27</v>
      </c>
      <c r="G981" t="s">
        <v>14</v>
      </c>
      <c r="H981" t="s">
        <v>15</v>
      </c>
      <c r="I981">
        <v>1</v>
      </c>
      <c r="J981" t="s">
        <v>23</v>
      </c>
      <c r="K981" t="s">
        <v>32</v>
      </c>
      <c r="L981">
        <v>31</v>
      </c>
      <c r="M981" t="str">
        <f t="shared" si="15"/>
        <v>Adolescence</v>
      </c>
      <c r="N981" t="s">
        <v>18</v>
      </c>
    </row>
    <row r="982" spans="1:14" x14ac:dyDescent="0.3">
      <c r="A982">
        <v>18594</v>
      </c>
      <c r="B982" t="s">
        <v>37</v>
      </c>
      <c r="C982" t="s">
        <v>38</v>
      </c>
      <c r="D982" s="1">
        <v>80000</v>
      </c>
      <c r="E982">
        <v>3</v>
      </c>
      <c r="F982" t="s">
        <v>13</v>
      </c>
      <c r="G982" t="s">
        <v>14</v>
      </c>
      <c r="H982" t="s">
        <v>15</v>
      </c>
      <c r="I982">
        <v>3</v>
      </c>
      <c r="J982" t="s">
        <v>30</v>
      </c>
      <c r="K982" t="s">
        <v>32</v>
      </c>
      <c r="L982">
        <v>40</v>
      </c>
      <c r="M982" t="str">
        <f t="shared" si="15"/>
        <v>Young</v>
      </c>
      <c r="N982" t="s">
        <v>15</v>
      </c>
    </row>
    <row r="983" spans="1:14" hidden="1"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hidden="1"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Young</v>
      </c>
      <c r="N985" t="s">
        <v>18</v>
      </c>
    </row>
    <row r="986" spans="1:14" hidden="1"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Young</v>
      </c>
      <c r="N987" t="s">
        <v>18</v>
      </c>
    </row>
    <row r="988" spans="1:14" hidden="1" x14ac:dyDescent="0.3">
      <c r="A988">
        <v>23704</v>
      </c>
      <c r="B988" t="s">
        <v>37</v>
      </c>
      <c r="C988" t="s">
        <v>39</v>
      </c>
      <c r="D988" s="1">
        <v>40000</v>
      </c>
      <c r="E988">
        <v>5</v>
      </c>
      <c r="F988" t="s">
        <v>27</v>
      </c>
      <c r="G988" t="s">
        <v>21</v>
      </c>
      <c r="H988" t="s">
        <v>15</v>
      </c>
      <c r="I988">
        <v>4</v>
      </c>
      <c r="J988" t="s">
        <v>30</v>
      </c>
      <c r="K988" t="s">
        <v>32</v>
      </c>
      <c r="L988">
        <v>60</v>
      </c>
      <c r="M988" t="str">
        <f t="shared" si="15"/>
        <v>Middle Age</v>
      </c>
      <c r="N988" t="s">
        <v>15</v>
      </c>
    </row>
    <row r="989" spans="1:14" hidden="1" x14ac:dyDescent="0.3">
      <c r="A989">
        <v>28972</v>
      </c>
      <c r="B989" t="s">
        <v>37</v>
      </c>
      <c r="C989" t="s">
        <v>38</v>
      </c>
      <c r="D989" s="1">
        <v>60000</v>
      </c>
      <c r="E989">
        <v>3</v>
      </c>
      <c r="F989" t="s">
        <v>31</v>
      </c>
      <c r="G989" t="s">
        <v>28</v>
      </c>
      <c r="H989" t="s">
        <v>15</v>
      </c>
      <c r="I989">
        <v>2</v>
      </c>
      <c r="J989" t="s">
        <v>30</v>
      </c>
      <c r="K989" t="s">
        <v>32</v>
      </c>
      <c r="L989">
        <v>66</v>
      </c>
      <c r="M989" t="str">
        <f t="shared" si="15"/>
        <v>Old</v>
      </c>
      <c r="N989" t="s">
        <v>18</v>
      </c>
    </row>
    <row r="990" spans="1:14" hidden="1" x14ac:dyDescent="0.3">
      <c r="A990">
        <v>22730</v>
      </c>
      <c r="B990" t="s">
        <v>36</v>
      </c>
      <c r="C990" t="s">
        <v>39</v>
      </c>
      <c r="D990" s="1">
        <v>70000</v>
      </c>
      <c r="E990">
        <v>5</v>
      </c>
      <c r="F990" t="s">
        <v>13</v>
      </c>
      <c r="G990" t="s">
        <v>28</v>
      </c>
      <c r="H990" t="s">
        <v>15</v>
      </c>
      <c r="I990">
        <v>2</v>
      </c>
      <c r="J990" t="s">
        <v>30</v>
      </c>
      <c r="K990" t="s">
        <v>32</v>
      </c>
      <c r="L990">
        <v>63</v>
      </c>
      <c r="M990" t="str">
        <f t="shared" si="15"/>
        <v>Middle Age</v>
      </c>
      <c r="N990" t="s">
        <v>18</v>
      </c>
    </row>
    <row r="991" spans="1:14" x14ac:dyDescent="0.3">
      <c r="A991">
        <v>29134</v>
      </c>
      <c r="B991" t="s">
        <v>36</v>
      </c>
      <c r="C991" t="s">
        <v>39</v>
      </c>
      <c r="D991" s="1">
        <v>60000</v>
      </c>
      <c r="E991">
        <v>4</v>
      </c>
      <c r="F991" t="s">
        <v>13</v>
      </c>
      <c r="G991" t="s">
        <v>14</v>
      </c>
      <c r="H991" t="s">
        <v>18</v>
      </c>
      <c r="I991">
        <v>3</v>
      </c>
      <c r="J991" t="s">
        <v>30</v>
      </c>
      <c r="K991" t="s">
        <v>32</v>
      </c>
      <c r="L991">
        <v>42</v>
      </c>
      <c r="M991" t="str">
        <f t="shared" si="15"/>
        <v>Young</v>
      </c>
      <c r="N991" t="s">
        <v>18</v>
      </c>
    </row>
    <row r="992" spans="1:14" hidden="1" x14ac:dyDescent="0.3">
      <c r="A992">
        <v>14332</v>
      </c>
      <c r="B992" t="s">
        <v>37</v>
      </c>
      <c r="C992" t="s">
        <v>38</v>
      </c>
      <c r="D992" s="1">
        <v>30000</v>
      </c>
      <c r="E992">
        <v>0</v>
      </c>
      <c r="F992" t="s">
        <v>27</v>
      </c>
      <c r="G992" t="s">
        <v>14</v>
      </c>
      <c r="H992" t="s">
        <v>18</v>
      </c>
      <c r="I992">
        <v>2</v>
      </c>
      <c r="J992" t="s">
        <v>23</v>
      </c>
      <c r="K992" t="s">
        <v>32</v>
      </c>
      <c r="L992">
        <v>26</v>
      </c>
      <c r="M992" t="str">
        <f t="shared" si="15"/>
        <v>Adolescence</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Young</v>
      </c>
      <c r="N993" t="s">
        <v>15</v>
      </c>
    </row>
    <row r="994" spans="1:14" hidden="1"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Young</v>
      </c>
      <c r="N995" t="s">
        <v>15</v>
      </c>
    </row>
    <row r="996" spans="1:14" hidden="1"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hidden="1"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Young</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Young</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Young</v>
      </c>
      <c r="N1000" t="s">
        <v>18</v>
      </c>
    </row>
    <row r="1001" spans="1:14" hidden="1" x14ac:dyDescent="0.3">
      <c r="A1001">
        <v>12121</v>
      </c>
      <c r="B1001" t="s">
        <v>37</v>
      </c>
      <c r="C1001" t="s">
        <v>39</v>
      </c>
      <c r="D1001" s="1">
        <v>60000</v>
      </c>
      <c r="E1001">
        <v>3</v>
      </c>
      <c r="F1001" t="s">
        <v>27</v>
      </c>
      <c r="G1001" t="s">
        <v>21</v>
      </c>
      <c r="H1001" t="s">
        <v>15</v>
      </c>
      <c r="I1001">
        <v>2</v>
      </c>
      <c r="J1001" t="s">
        <v>30</v>
      </c>
      <c r="K1001" t="s">
        <v>32</v>
      </c>
      <c r="L1001">
        <v>53</v>
      </c>
      <c r="M1001" t="str">
        <f t="shared" si="15"/>
        <v>Middle Age</v>
      </c>
      <c r="N1001" t="s">
        <v>15</v>
      </c>
    </row>
  </sheetData>
  <autoFilter ref="A1:N1001" xr:uid="{85B11182-5A07-495A-8F69-BCAE46116056}">
    <filterColumn colId="12">
      <filters>
        <filter val="Young"/>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ED54-2018-4D4F-9B6F-41D284C96908}">
  <dimension ref="A1:E92"/>
  <sheetViews>
    <sheetView tabSelected="1" zoomScale="85" zoomScaleNormal="85" workbookViewId="0">
      <selection activeCell="A91" sqref="A91"/>
    </sheetView>
  </sheetViews>
  <sheetFormatPr defaultRowHeight="14.4" x14ac:dyDescent="0.3"/>
  <cols>
    <col min="1" max="1" width="13.44140625" bestFit="1" customWidth="1"/>
    <col min="2" max="2" width="23.109375" bestFit="1" customWidth="1"/>
    <col min="3" max="3" width="10.33203125" bestFit="1" customWidth="1"/>
    <col min="4" max="4" width="11.44140625" bestFit="1" customWidth="1"/>
    <col min="5" max="5" width="14.33203125" bestFit="1" customWidth="1"/>
    <col min="6" max="6" width="28.33203125" bestFit="1" customWidth="1"/>
    <col min="7" max="7" width="19.5546875" bestFit="1" customWidth="1"/>
    <col min="8" max="8" width="6.6640625" bestFit="1" customWidth="1"/>
    <col min="9" max="9" width="4" bestFit="1" customWidth="1"/>
    <col min="10" max="13" width="3" bestFit="1" customWidth="1"/>
    <col min="14" max="14" width="2" bestFit="1" customWidth="1"/>
    <col min="15" max="15" width="6.6640625" bestFit="1" customWidth="1"/>
    <col min="16" max="16" width="4" bestFit="1" customWidth="1"/>
    <col min="17" max="17" width="2" bestFit="1" customWidth="1"/>
    <col min="18" max="21" width="3" bestFit="1" customWidth="1"/>
    <col min="22" max="22" width="6.6640625" bestFit="1" customWidth="1"/>
    <col min="23" max="23" width="4" bestFit="1" customWidth="1"/>
    <col min="24" max="26" width="2" bestFit="1" customWidth="1"/>
    <col min="27" max="28" width="3" bestFit="1" customWidth="1"/>
    <col min="29" max="29" width="6.6640625" bestFit="1" customWidth="1"/>
    <col min="30" max="30" width="4" bestFit="1" customWidth="1"/>
    <col min="31" max="31" width="3" bestFit="1" customWidth="1"/>
    <col min="32" max="32" width="2" bestFit="1" customWidth="1"/>
    <col min="33" max="33" width="3" bestFit="1" customWidth="1"/>
    <col min="34" max="34" width="2" bestFit="1" customWidth="1"/>
    <col min="35" max="35" width="3" bestFit="1" customWidth="1"/>
    <col min="36" max="36" width="6.6640625" bestFit="1" customWidth="1"/>
    <col min="37" max="37" width="10.77734375" bestFit="1" customWidth="1"/>
  </cols>
  <sheetData>
    <row r="1" spans="1:4" x14ac:dyDescent="0.3">
      <c r="A1" s="4" t="s">
        <v>1</v>
      </c>
      <c r="B1" t="s">
        <v>51</v>
      </c>
    </row>
    <row r="2" spans="1:4" x14ac:dyDescent="0.3">
      <c r="A2" s="4" t="s">
        <v>5</v>
      </c>
      <c r="B2" t="s">
        <v>51</v>
      </c>
    </row>
    <row r="4" spans="1:4" x14ac:dyDescent="0.3">
      <c r="A4" s="4" t="s">
        <v>44</v>
      </c>
      <c r="B4" s="4" t="s">
        <v>43</v>
      </c>
    </row>
    <row r="5" spans="1:4" x14ac:dyDescent="0.3">
      <c r="A5" s="4" t="s">
        <v>41</v>
      </c>
      <c r="B5" t="s">
        <v>18</v>
      </c>
      <c r="C5" t="s">
        <v>15</v>
      </c>
      <c r="D5" t="s">
        <v>42</v>
      </c>
    </row>
    <row r="6" spans="1:4" x14ac:dyDescent="0.3">
      <c r="A6" s="5" t="s">
        <v>38</v>
      </c>
      <c r="B6" s="3">
        <v>53440</v>
      </c>
      <c r="C6" s="3">
        <v>55774.058577405856</v>
      </c>
      <c r="D6" s="3">
        <v>54580.777096114522</v>
      </c>
    </row>
    <row r="7" spans="1:4" x14ac:dyDescent="0.3">
      <c r="A7" s="5" t="s">
        <v>39</v>
      </c>
      <c r="B7" s="3">
        <v>56208.178438661707</v>
      </c>
      <c r="C7" s="3">
        <v>60123.966942148763</v>
      </c>
      <c r="D7" s="3">
        <v>58062.62230919765</v>
      </c>
    </row>
    <row r="8" spans="1:4" x14ac:dyDescent="0.3">
      <c r="A8" s="5" t="s">
        <v>42</v>
      </c>
      <c r="B8" s="3">
        <v>54874.759152215796</v>
      </c>
      <c r="C8" s="3">
        <v>57962.577962577961</v>
      </c>
      <c r="D8" s="3">
        <v>56360</v>
      </c>
    </row>
    <row r="19" spans="1:4" x14ac:dyDescent="0.3">
      <c r="A19" s="4" t="s">
        <v>2</v>
      </c>
      <c r="B19" t="s">
        <v>51</v>
      </c>
    </row>
    <row r="20" spans="1:4" x14ac:dyDescent="0.3">
      <c r="A20" s="4" t="s">
        <v>40</v>
      </c>
      <c r="B20" t="s">
        <v>51</v>
      </c>
    </row>
    <row r="22" spans="1:4" x14ac:dyDescent="0.3">
      <c r="A22" s="4" t="s">
        <v>45</v>
      </c>
      <c r="B22" s="4" t="s">
        <v>43</v>
      </c>
    </row>
    <row r="23" spans="1:4" x14ac:dyDescent="0.3">
      <c r="A23" s="4" t="s">
        <v>41</v>
      </c>
      <c r="B23" t="s">
        <v>18</v>
      </c>
      <c r="C23" t="s">
        <v>15</v>
      </c>
      <c r="D23" t="s">
        <v>42</v>
      </c>
    </row>
    <row r="24" spans="1:4" x14ac:dyDescent="0.3">
      <c r="A24" s="5" t="s">
        <v>16</v>
      </c>
      <c r="B24">
        <v>166</v>
      </c>
      <c r="C24">
        <v>200</v>
      </c>
      <c r="D24">
        <v>366</v>
      </c>
    </row>
    <row r="25" spans="1:4" x14ac:dyDescent="0.3">
      <c r="A25" s="5" t="s">
        <v>26</v>
      </c>
      <c r="B25">
        <v>92</v>
      </c>
      <c r="C25">
        <v>77</v>
      </c>
      <c r="D25">
        <v>169</v>
      </c>
    </row>
    <row r="26" spans="1:4" x14ac:dyDescent="0.3">
      <c r="A26" s="5" t="s">
        <v>22</v>
      </c>
      <c r="B26">
        <v>67</v>
      </c>
      <c r="C26">
        <v>95</v>
      </c>
      <c r="D26">
        <v>162</v>
      </c>
    </row>
    <row r="27" spans="1:4" x14ac:dyDescent="0.3">
      <c r="A27" s="5" t="s">
        <v>23</v>
      </c>
      <c r="B27">
        <v>116</v>
      </c>
      <c r="C27">
        <v>76</v>
      </c>
      <c r="D27">
        <v>192</v>
      </c>
    </row>
    <row r="28" spans="1:4" x14ac:dyDescent="0.3">
      <c r="A28" s="5" t="s">
        <v>30</v>
      </c>
      <c r="B28">
        <v>78</v>
      </c>
      <c r="C28">
        <v>33</v>
      </c>
      <c r="D28">
        <v>111</v>
      </c>
    </row>
    <row r="29" spans="1:4" x14ac:dyDescent="0.3">
      <c r="A29" s="5" t="s">
        <v>42</v>
      </c>
      <c r="B29">
        <v>519</v>
      </c>
      <c r="C29">
        <v>481</v>
      </c>
      <c r="D29">
        <v>1000</v>
      </c>
    </row>
    <row r="38" spans="1:4" x14ac:dyDescent="0.3">
      <c r="A38" s="4" t="s">
        <v>2</v>
      </c>
      <c r="B38" t="s">
        <v>51</v>
      </c>
    </row>
    <row r="40" spans="1:4" x14ac:dyDescent="0.3">
      <c r="A40" s="4" t="s">
        <v>45</v>
      </c>
      <c r="B40" s="4" t="s">
        <v>43</v>
      </c>
    </row>
    <row r="41" spans="1:4" x14ac:dyDescent="0.3">
      <c r="A41" s="4" t="s">
        <v>41</v>
      </c>
      <c r="B41" t="s">
        <v>18</v>
      </c>
      <c r="C41" t="s">
        <v>15</v>
      </c>
      <c r="D41" t="s">
        <v>42</v>
      </c>
    </row>
    <row r="42" spans="1:4" x14ac:dyDescent="0.3">
      <c r="A42" s="5" t="s">
        <v>46</v>
      </c>
      <c r="B42">
        <v>127</v>
      </c>
      <c r="C42">
        <v>93</v>
      </c>
      <c r="D42">
        <v>220</v>
      </c>
    </row>
    <row r="43" spans="1:4" x14ac:dyDescent="0.3">
      <c r="A43" s="5" t="s">
        <v>49</v>
      </c>
      <c r="B43">
        <v>134</v>
      </c>
      <c r="C43">
        <v>197</v>
      </c>
      <c r="D43">
        <v>331</v>
      </c>
    </row>
    <row r="44" spans="1:4" x14ac:dyDescent="0.3">
      <c r="A44" s="5" t="s">
        <v>47</v>
      </c>
      <c r="B44">
        <v>216</v>
      </c>
      <c r="C44">
        <v>174</v>
      </c>
      <c r="D44">
        <v>390</v>
      </c>
    </row>
    <row r="45" spans="1:4" x14ac:dyDescent="0.3">
      <c r="A45" s="5" t="s">
        <v>48</v>
      </c>
      <c r="B45">
        <v>42</v>
      </c>
      <c r="C45">
        <v>17</v>
      </c>
      <c r="D45">
        <v>59</v>
      </c>
    </row>
    <row r="46" spans="1:4" x14ac:dyDescent="0.3">
      <c r="A46" s="5" t="s">
        <v>42</v>
      </c>
      <c r="B46">
        <v>519</v>
      </c>
      <c r="C46">
        <v>481</v>
      </c>
      <c r="D46">
        <v>1000</v>
      </c>
    </row>
    <row r="55" spans="1:4" x14ac:dyDescent="0.3">
      <c r="A55" s="4" t="s">
        <v>2</v>
      </c>
      <c r="B55" t="s">
        <v>51</v>
      </c>
    </row>
    <row r="57" spans="1:4" x14ac:dyDescent="0.3">
      <c r="A57" s="4" t="s">
        <v>44</v>
      </c>
      <c r="B57" s="4" t="s">
        <v>43</v>
      </c>
    </row>
    <row r="58" spans="1:4" x14ac:dyDescent="0.3">
      <c r="A58" s="4" t="s">
        <v>41</v>
      </c>
      <c r="B58" t="s">
        <v>18</v>
      </c>
      <c r="C58" t="s">
        <v>15</v>
      </c>
      <c r="D58" t="s">
        <v>42</v>
      </c>
    </row>
    <row r="59" spans="1:4" x14ac:dyDescent="0.3">
      <c r="A59" s="5" t="s">
        <v>16</v>
      </c>
      <c r="B59" s="1">
        <v>47891.566265060239</v>
      </c>
      <c r="C59" s="1">
        <v>50950</v>
      </c>
      <c r="D59" s="1">
        <v>49562.841530054648</v>
      </c>
    </row>
    <row r="60" spans="1:4" x14ac:dyDescent="0.3">
      <c r="A60" s="5" t="s">
        <v>30</v>
      </c>
      <c r="B60" s="1">
        <v>71666.666666666672</v>
      </c>
      <c r="C60" s="1">
        <v>82424.242424242431</v>
      </c>
      <c r="D60" s="1">
        <v>74864.864864864867</v>
      </c>
    </row>
    <row r="61" spans="1:4" x14ac:dyDescent="0.3">
      <c r="A61" s="5" t="s">
        <v>26</v>
      </c>
      <c r="B61" s="1">
        <v>52391.304347826088</v>
      </c>
      <c r="C61" s="1">
        <v>51298.7012987013</v>
      </c>
      <c r="D61" s="1">
        <v>51893.491124260356</v>
      </c>
    </row>
    <row r="62" spans="1:4" x14ac:dyDescent="0.3">
      <c r="A62" s="5" t="s">
        <v>22</v>
      </c>
      <c r="B62" s="1">
        <v>56716.417910447759</v>
      </c>
      <c r="C62" s="1">
        <v>63157.894736842107</v>
      </c>
      <c r="D62" s="1">
        <v>60493.827160493827</v>
      </c>
    </row>
    <row r="63" spans="1:4" x14ac:dyDescent="0.3">
      <c r="A63" s="5" t="s">
        <v>23</v>
      </c>
      <c r="B63" s="1">
        <v>54482.758620689652</v>
      </c>
      <c r="C63" s="1">
        <v>66052.631578947374</v>
      </c>
      <c r="D63" s="1">
        <v>59062.5</v>
      </c>
    </row>
    <row r="64" spans="1:4" x14ac:dyDescent="0.3">
      <c r="A64" s="5" t="s">
        <v>42</v>
      </c>
      <c r="B64" s="1">
        <v>54874.759152215796</v>
      </c>
      <c r="C64" s="1">
        <v>57962.577962577961</v>
      </c>
      <c r="D64" s="1">
        <v>56360</v>
      </c>
    </row>
    <row r="72" spans="1:2" x14ac:dyDescent="0.3">
      <c r="A72" s="4" t="s">
        <v>41</v>
      </c>
      <c r="B72" t="s">
        <v>45</v>
      </c>
    </row>
    <row r="73" spans="1:2" x14ac:dyDescent="0.3">
      <c r="A73" s="5" t="s">
        <v>18</v>
      </c>
      <c r="B73">
        <v>519</v>
      </c>
    </row>
    <row r="74" spans="1:2" x14ac:dyDescent="0.3">
      <c r="A74" s="5" t="s">
        <v>15</v>
      </c>
      <c r="B74">
        <v>481</v>
      </c>
    </row>
    <row r="75" spans="1:2" x14ac:dyDescent="0.3">
      <c r="A75" s="5" t="s">
        <v>42</v>
      </c>
      <c r="B75">
        <v>1000</v>
      </c>
    </row>
    <row r="76" spans="1:2" x14ac:dyDescent="0.3">
      <c r="A76">
        <f>GETPIVOTDATA("Purchased Bike",$A$72,"Purchased Bike","Yes")</f>
        <v>481</v>
      </c>
    </row>
    <row r="77" spans="1:2" x14ac:dyDescent="0.3">
      <c r="A77" s="6">
        <f>GETPIVOTDATA("Purchased Bike",$A$72,"Purchased Bike","Yes")/GETPIVOTDATA("Purchased Bike",$A$72)</f>
        <v>0.48099999999999998</v>
      </c>
    </row>
    <row r="80" spans="1:2" x14ac:dyDescent="0.3">
      <c r="A80" s="4" t="s">
        <v>41</v>
      </c>
      <c r="B80" t="s">
        <v>44</v>
      </c>
    </row>
    <row r="81" spans="1:5" x14ac:dyDescent="0.3">
      <c r="A81" s="5" t="s">
        <v>38</v>
      </c>
      <c r="B81" s="7">
        <v>54580.777096114522</v>
      </c>
    </row>
    <row r="82" spans="1:5" x14ac:dyDescent="0.3">
      <c r="A82" s="5" t="s">
        <v>39</v>
      </c>
      <c r="B82" s="7">
        <v>58062.62230919765</v>
      </c>
    </row>
    <row r="83" spans="1:5" x14ac:dyDescent="0.3">
      <c r="A83" s="5" t="s">
        <v>42</v>
      </c>
      <c r="B83" s="1">
        <v>56360</v>
      </c>
    </row>
    <row r="84" spans="1:5" x14ac:dyDescent="0.3">
      <c r="A84" s="3">
        <f>GETPIVOTDATA("Income",$A$80)</f>
        <v>56360</v>
      </c>
    </row>
    <row r="86" spans="1:5" x14ac:dyDescent="0.3">
      <c r="A86" s="4" t="s">
        <v>41</v>
      </c>
      <c r="B86" t="s">
        <v>45</v>
      </c>
    </row>
    <row r="87" spans="1:5" x14ac:dyDescent="0.3">
      <c r="A87" s="5" t="s">
        <v>20</v>
      </c>
      <c r="B87">
        <v>177</v>
      </c>
      <c r="C87" s="8">
        <f>GETPIVOTDATA("Purchased Bike",$A$86,"Occupation","Clerical")</f>
        <v>177</v>
      </c>
      <c r="D87" s="6">
        <f>C87/C$92</f>
        <v>0.17699999999999999</v>
      </c>
    </row>
    <row r="88" spans="1:5" x14ac:dyDescent="0.3">
      <c r="A88" s="5" t="s">
        <v>28</v>
      </c>
      <c r="B88">
        <v>173</v>
      </c>
      <c r="C88" s="8">
        <f>GETPIVOTDATA("Purchased Bike",$A$86,"Occupation","Management")</f>
        <v>173</v>
      </c>
      <c r="D88" s="6">
        <f t="shared" ref="D88:D91" si="0">C88/C$92</f>
        <v>0.17299999999999999</v>
      </c>
    </row>
    <row r="89" spans="1:5" x14ac:dyDescent="0.3">
      <c r="A89" s="5" t="s">
        <v>25</v>
      </c>
      <c r="B89">
        <v>119</v>
      </c>
      <c r="C89" s="8">
        <f>GETPIVOTDATA("Purchased Bike",$A$86,"Occupation","Manual")</f>
        <v>119</v>
      </c>
      <c r="D89" s="6">
        <f t="shared" si="0"/>
        <v>0.11899999999999999</v>
      </c>
    </row>
    <row r="90" spans="1:5" x14ac:dyDescent="0.3">
      <c r="A90" s="5" t="s">
        <v>21</v>
      </c>
      <c r="B90">
        <v>276</v>
      </c>
      <c r="C90" s="8">
        <f>GETPIVOTDATA("Purchased Bike",$A$86,"Occupation","Professional")</f>
        <v>276</v>
      </c>
      <c r="D90" s="6">
        <f t="shared" si="0"/>
        <v>0.27600000000000002</v>
      </c>
      <c r="E90" s="9">
        <f>D90+D91</f>
        <v>0.53100000000000003</v>
      </c>
    </row>
    <row r="91" spans="1:5" x14ac:dyDescent="0.3">
      <c r="A91" s="5" t="s">
        <v>14</v>
      </c>
      <c r="B91">
        <v>255</v>
      </c>
      <c r="C91" s="8">
        <f>GETPIVOTDATA("Purchased Bike",$A$86,"Occupation","Skilled Manual")</f>
        <v>255</v>
      </c>
      <c r="D91" s="6">
        <f t="shared" si="0"/>
        <v>0.255</v>
      </c>
    </row>
    <row r="92" spans="1:5" x14ac:dyDescent="0.3">
      <c r="A92" s="5" t="s">
        <v>42</v>
      </c>
      <c r="B92">
        <v>1000</v>
      </c>
      <c r="C92">
        <f>GETPIVOTDATA("Purchased Bike",$A$86)</f>
        <v>1000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717C6-93D6-4089-A914-9CED1DB555AF}">
  <dimension ref="A1:T5"/>
  <sheetViews>
    <sheetView showGridLines="0" topLeftCell="A10" zoomScale="55" zoomScaleNormal="55" workbookViewId="0">
      <selection activeCell="AD16" sqref="AD16"/>
    </sheetView>
  </sheetViews>
  <sheetFormatPr defaultRowHeight="14.4" x14ac:dyDescent="0.3"/>
  <cols>
    <col min="20" max="20" width="8.44140625" customWidth="1"/>
  </cols>
  <sheetData>
    <row r="1" spans="1:20" ht="14.4" customHeight="1" x14ac:dyDescent="0.3">
      <c r="A1" s="12" t="s">
        <v>50</v>
      </c>
      <c r="B1" s="12"/>
      <c r="C1" s="12"/>
      <c r="D1" s="12"/>
      <c r="E1" s="12"/>
      <c r="F1" s="12"/>
      <c r="G1" s="12"/>
      <c r="H1" s="12"/>
      <c r="I1" s="12"/>
      <c r="J1" s="12"/>
      <c r="K1" s="12"/>
      <c r="L1" s="12"/>
      <c r="M1" s="12"/>
      <c r="N1" s="12"/>
      <c r="O1" s="12"/>
      <c r="P1" s="12"/>
      <c r="Q1" s="12"/>
      <c r="R1" s="12"/>
      <c r="S1" s="12"/>
      <c r="T1" s="12"/>
    </row>
    <row r="2" spans="1:20" ht="14.4" customHeight="1" x14ac:dyDescent="0.3">
      <c r="A2" s="12"/>
      <c r="B2" s="12"/>
      <c r="C2" s="12"/>
      <c r="D2" s="12"/>
      <c r="E2" s="12"/>
      <c r="F2" s="12"/>
      <c r="G2" s="12"/>
      <c r="H2" s="12"/>
      <c r="I2" s="12"/>
      <c r="J2" s="12"/>
      <c r="K2" s="12"/>
      <c r="L2" s="12"/>
      <c r="M2" s="12"/>
      <c r="N2" s="12"/>
      <c r="O2" s="12"/>
      <c r="P2" s="12"/>
      <c r="Q2" s="12"/>
      <c r="R2" s="12"/>
      <c r="S2" s="12"/>
      <c r="T2" s="12"/>
    </row>
    <row r="3" spans="1:20" ht="14.4" customHeight="1" x14ac:dyDescent="0.3">
      <c r="A3" s="12"/>
      <c r="B3" s="12"/>
      <c r="C3" s="12"/>
      <c r="D3" s="12"/>
      <c r="E3" s="12"/>
      <c r="F3" s="12"/>
      <c r="G3" s="12"/>
      <c r="H3" s="12"/>
      <c r="I3" s="12"/>
      <c r="J3" s="12"/>
      <c r="K3" s="12"/>
      <c r="L3" s="12"/>
      <c r="M3" s="12"/>
      <c r="N3" s="12"/>
      <c r="O3" s="12"/>
      <c r="P3" s="12"/>
      <c r="Q3" s="12"/>
      <c r="R3" s="12"/>
      <c r="S3" s="12"/>
      <c r="T3" s="12"/>
    </row>
    <row r="4" spans="1:20" ht="14.4" customHeight="1" x14ac:dyDescent="0.3">
      <c r="A4" s="12"/>
      <c r="B4" s="12"/>
      <c r="C4" s="12"/>
      <c r="D4" s="12"/>
      <c r="E4" s="12"/>
      <c r="F4" s="12"/>
      <c r="G4" s="12"/>
      <c r="H4" s="12"/>
      <c r="I4" s="12"/>
      <c r="J4" s="12"/>
      <c r="K4" s="12"/>
      <c r="L4" s="12"/>
      <c r="M4" s="12"/>
      <c r="N4" s="12"/>
      <c r="O4" s="12"/>
      <c r="P4" s="12"/>
      <c r="Q4" s="12"/>
      <c r="R4" s="12"/>
      <c r="S4" s="12"/>
      <c r="T4" s="12"/>
    </row>
    <row r="5" spans="1:20" ht="14.4" customHeight="1" x14ac:dyDescent="0.3">
      <c r="A5" s="12"/>
      <c r="B5" s="12"/>
      <c r="C5" s="12"/>
      <c r="D5" s="12"/>
      <c r="E5" s="12"/>
      <c r="F5" s="12"/>
      <c r="G5" s="12"/>
      <c r="H5" s="12"/>
      <c r="I5" s="12"/>
      <c r="J5" s="12"/>
      <c r="K5" s="12"/>
      <c r="L5" s="12"/>
      <c r="M5" s="12"/>
      <c r="N5" s="12"/>
      <c r="O5" s="12"/>
      <c r="P5" s="12"/>
      <c r="Q5" s="12"/>
      <c r="R5" s="12"/>
      <c r="S5" s="12"/>
      <c r="T5" s="12"/>
    </row>
  </sheetData>
  <mergeCells count="1">
    <mergeCell ref="A1: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Seyed Amin</dc:creator>
  <cp:lastModifiedBy>Seyed Mohammad Amin Amirkhalili</cp:lastModifiedBy>
  <dcterms:created xsi:type="dcterms:W3CDTF">2022-03-18T02:50:57Z</dcterms:created>
  <dcterms:modified xsi:type="dcterms:W3CDTF">2026-05-06T02:20:06Z</dcterms:modified>
</cp:coreProperties>
</file>